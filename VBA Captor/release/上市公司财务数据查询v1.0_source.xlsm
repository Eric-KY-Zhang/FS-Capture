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Claude+CODEX Project\FS Capture\VBA Captor\"/>
    </mc:Choice>
  </mc:AlternateContent>
  <xr:revisionPtr revIDLastSave="0" documentId="13_ncr:1_{BAA85CA6-B8BC-4B3B-B1B5-1107B245A7B6}" xr6:coauthVersionLast="47" xr6:coauthVersionMax="47" xr10:uidLastSave="{00000000-0000-0000-0000-000000000000}"/>
  <bookViews>
    <workbookView xWindow="-120" yWindow="-120" windowWidth="29040" windowHeight="15720" tabRatio="880" activeTab="22" xr2:uid="{00000000-000D-0000-FFFF-FFFF00000000}"/>
  </bookViews>
  <sheets>
    <sheet name="使用说明" sheetId="1" r:id="rId1"/>
    <sheet name="样本池" sheetId="2" r:id="rId2"/>
    <sheet name="跨市场_指标表" sheetId="23" state="hidden" r:id="rId3"/>
    <sheet name="A股_资产负债表" sheetId="3" r:id="rId4"/>
    <sheet name="A股_利润表" sheetId="4" r:id="rId5"/>
    <sheet name="A股_现金流量表" sheetId="5" r:id="rId6"/>
    <sheet name="A股_指标表" sheetId="6" r:id="rId7"/>
    <sheet name="美股_资产负债表" sheetId="7" state="hidden" r:id="rId8"/>
    <sheet name="美股_利润表" sheetId="8" state="hidden" r:id="rId9"/>
    <sheet name="美股_现金流量表" sheetId="9" state="hidden" r:id="rId10"/>
    <sheet name="美股_指标表" sheetId="10" state="hidden" r:id="rId11"/>
    <sheet name="美股_抓取诊断" sheetId="11" state="hidden" r:id="rId12"/>
    <sheet name="港股_资产负债表" sheetId="12" state="hidden" r:id="rId13"/>
    <sheet name="港股_利润表" sheetId="13" state="hidden" r:id="rId14"/>
    <sheet name="港股_现金流量表" sheetId="14" state="hidden" r:id="rId15"/>
    <sheet name="港股_指标表" sheetId="15" state="hidden" r:id="rId16"/>
    <sheet name="港股_抓取诊断" sheetId="16" state="hidden" r:id="rId17"/>
    <sheet name="韩股_资产负债表" sheetId="17" state="hidden" r:id="rId18"/>
    <sheet name="韩股_利润表" sheetId="18" state="hidden" r:id="rId19"/>
    <sheet name="韩股_现金流量表" sheetId="19" state="hidden" r:id="rId20"/>
    <sheet name="韩股_指标表" sheetId="20" state="hidden" r:id="rId21"/>
    <sheet name="韩股_抓取诊断" sheetId="21" state="hidden" r:id="rId22"/>
    <sheet name="汇率" sheetId="22" r:id="rId2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3" l="1"/>
  <c r="I2" i="23"/>
  <c r="H2" i="23"/>
  <c r="G2" i="23"/>
  <c r="F2" i="23"/>
  <c r="E2" i="23"/>
  <c r="D2" i="23"/>
  <c r="C14" i="19"/>
  <c r="C13" i="19"/>
  <c r="C12" i="19"/>
  <c r="C11" i="19"/>
  <c r="C10" i="19"/>
  <c r="C9" i="19"/>
  <c r="C8" i="19"/>
  <c r="C7" i="19"/>
  <c r="C6" i="19"/>
  <c r="C5" i="19"/>
  <c r="C4" i="19"/>
  <c r="C3" i="19"/>
  <c r="C1" i="19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D4" i="18"/>
  <c r="C4" i="18"/>
  <c r="D3" i="18"/>
  <c r="C3" i="18"/>
  <c r="C1" i="18"/>
  <c r="D17" i="17"/>
  <c r="C17" i="17"/>
  <c r="D16" i="17"/>
  <c r="C16" i="17"/>
  <c r="D15" i="17"/>
  <c r="C15" i="17"/>
  <c r="D14" i="17"/>
  <c r="C14" i="17"/>
  <c r="D13" i="17"/>
  <c r="C13" i="17"/>
  <c r="D12" i="17"/>
  <c r="C12" i="17"/>
  <c r="D11" i="17"/>
  <c r="C11" i="17"/>
  <c r="D10" i="17"/>
  <c r="C10" i="17"/>
  <c r="D9" i="17"/>
  <c r="C9" i="17"/>
  <c r="D8" i="17"/>
  <c r="C8" i="17"/>
  <c r="D7" i="17"/>
  <c r="C7" i="17"/>
  <c r="D6" i="17"/>
  <c r="C6" i="17"/>
  <c r="D5" i="17"/>
  <c r="C5" i="17"/>
  <c r="D4" i="17"/>
  <c r="C4" i="17"/>
  <c r="D3" i="17"/>
  <c r="C3" i="17"/>
  <c r="C1" i="17"/>
  <c r="C13" i="14"/>
  <c r="C12" i="14"/>
  <c r="C11" i="14"/>
  <c r="C10" i="14"/>
  <c r="C9" i="14"/>
  <c r="C8" i="14"/>
  <c r="C7" i="14"/>
  <c r="C6" i="14"/>
  <c r="C5" i="14"/>
  <c r="C4" i="14"/>
  <c r="C3" i="14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4" i="13"/>
  <c r="C4" i="13"/>
  <c r="D3" i="13"/>
  <c r="C3" i="13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4" i="12"/>
  <c r="C4" i="12"/>
  <c r="D3" i="12"/>
  <c r="C3" i="12"/>
  <c r="G73" i="5"/>
  <c r="F73" i="5"/>
  <c r="E73" i="5"/>
  <c r="D73" i="5"/>
  <c r="C73" i="5"/>
  <c r="G72" i="5"/>
  <c r="F72" i="5"/>
  <c r="E72" i="5"/>
  <c r="D72" i="5"/>
  <c r="C72" i="5"/>
  <c r="G71" i="5"/>
  <c r="F71" i="5"/>
  <c r="E71" i="5"/>
  <c r="D71" i="5"/>
  <c r="C71" i="5"/>
  <c r="G70" i="5"/>
  <c r="F70" i="5"/>
  <c r="E70" i="5"/>
  <c r="D70" i="5"/>
  <c r="C70" i="5"/>
  <c r="G69" i="5"/>
  <c r="F69" i="5"/>
  <c r="E69" i="5"/>
  <c r="D69" i="5"/>
  <c r="C69" i="5"/>
  <c r="G68" i="5"/>
  <c r="F68" i="5"/>
  <c r="E68" i="5"/>
  <c r="D68" i="5"/>
  <c r="C68" i="5"/>
  <c r="G67" i="5"/>
  <c r="F67" i="5"/>
  <c r="E67" i="5"/>
  <c r="D67" i="5"/>
  <c r="C67" i="5"/>
  <c r="G66" i="5"/>
  <c r="F66" i="5"/>
  <c r="E66" i="5"/>
  <c r="D66" i="5"/>
  <c r="C66" i="5"/>
  <c r="G65" i="5"/>
  <c r="F65" i="5"/>
  <c r="E65" i="5"/>
  <c r="D65" i="5"/>
  <c r="C65" i="5"/>
  <c r="G64" i="5"/>
  <c r="F64" i="5"/>
  <c r="E64" i="5"/>
  <c r="D64" i="5"/>
  <c r="C64" i="5"/>
  <c r="G63" i="5"/>
  <c r="F63" i="5"/>
  <c r="E63" i="5"/>
  <c r="D63" i="5"/>
  <c r="C63" i="5"/>
  <c r="G62" i="5"/>
  <c r="F62" i="5"/>
  <c r="E62" i="5"/>
  <c r="D62" i="5"/>
  <c r="C62" i="5"/>
  <c r="G61" i="5"/>
  <c r="F61" i="5"/>
  <c r="E61" i="5"/>
  <c r="D61" i="5"/>
  <c r="C61" i="5"/>
  <c r="G60" i="5"/>
  <c r="F60" i="5"/>
  <c r="E60" i="5"/>
  <c r="D60" i="5"/>
  <c r="C60" i="5"/>
  <c r="G59" i="5"/>
  <c r="F59" i="5"/>
  <c r="E59" i="5"/>
  <c r="D59" i="5"/>
  <c r="C59" i="5"/>
  <c r="G58" i="5"/>
  <c r="F58" i="5"/>
  <c r="E58" i="5"/>
  <c r="D58" i="5"/>
  <c r="C58" i="5"/>
  <c r="G57" i="5"/>
  <c r="F57" i="5"/>
  <c r="E57" i="5"/>
  <c r="D57" i="5"/>
  <c r="C57" i="5"/>
  <c r="G56" i="5"/>
  <c r="F56" i="5"/>
  <c r="E56" i="5"/>
  <c r="D56" i="5"/>
  <c r="C56" i="5"/>
  <c r="G55" i="5"/>
  <c r="F55" i="5"/>
  <c r="E55" i="5"/>
  <c r="D55" i="5"/>
  <c r="C55" i="5"/>
  <c r="G54" i="5"/>
  <c r="F54" i="5"/>
  <c r="E54" i="5"/>
  <c r="D54" i="5"/>
  <c r="C54" i="5"/>
  <c r="G53" i="5"/>
  <c r="F53" i="5"/>
  <c r="E53" i="5"/>
  <c r="D53" i="5"/>
  <c r="C53" i="5"/>
  <c r="G52" i="5"/>
  <c r="F52" i="5"/>
  <c r="E52" i="5"/>
  <c r="D52" i="5"/>
  <c r="C52" i="5"/>
  <c r="G51" i="5"/>
  <c r="F51" i="5"/>
  <c r="E51" i="5"/>
  <c r="D51" i="5"/>
  <c r="C51" i="5"/>
  <c r="G50" i="5"/>
  <c r="F50" i="5"/>
  <c r="E50" i="5"/>
  <c r="D50" i="5"/>
  <c r="C50" i="5"/>
  <c r="G49" i="5"/>
  <c r="F49" i="5"/>
  <c r="E49" i="5"/>
  <c r="D49" i="5"/>
  <c r="C49" i="5"/>
  <c r="G48" i="5"/>
  <c r="F48" i="5"/>
  <c r="E48" i="5"/>
  <c r="D48" i="5"/>
  <c r="C48" i="5"/>
  <c r="G47" i="5"/>
  <c r="F47" i="5"/>
  <c r="E47" i="5"/>
  <c r="D47" i="5"/>
  <c r="C47" i="5"/>
  <c r="G46" i="5"/>
  <c r="F46" i="5"/>
  <c r="E46" i="5"/>
  <c r="D46" i="5"/>
  <c r="C46" i="5"/>
  <c r="G45" i="5"/>
  <c r="F45" i="5"/>
  <c r="E45" i="5"/>
  <c r="D45" i="5"/>
  <c r="C45" i="5"/>
  <c r="G44" i="5"/>
  <c r="F44" i="5"/>
  <c r="E44" i="5"/>
  <c r="D44" i="5"/>
  <c r="C44" i="5"/>
  <c r="G43" i="5"/>
  <c r="F43" i="5"/>
  <c r="E43" i="5"/>
  <c r="D43" i="5"/>
  <c r="C43" i="5"/>
  <c r="G42" i="5"/>
  <c r="F42" i="5"/>
  <c r="E42" i="5"/>
  <c r="D42" i="5"/>
  <c r="C42" i="5"/>
  <c r="G41" i="5"/>
  <c r="F41" i="5"/>
  <c r="E41" i="5"/>
  <c r="D41" i="5"/>
  <c r="C41" i="5"/>
  <c r="G40" i="5"/>
  <c r="F40" i="5"/>
  <c r="E40" i="5"/>
  <c r="D40" i="5"/>
  <c r="C40" i="5"/>
  <c r="G39" i="5"/>
  <c r="F39" i="5"/>
  <c r="E39" i="5"/>
  <c r="D39" i="5"/>
  <c r="C39" i="5"/>
  <c r="G38" i="5"/>
  <c r="F38" i="5"/>
  <c r="E38" i="5"/>
  <c r="D38" i="5"/>
  <c r="C38" i="5"/>
  <c r="G37" i="5"/>
  <c r="F37" i="5"/>
  <c r="E37" i="5"/>
  <c r="D37" i="5"/>
  <c r="C37" i="5"/>
  <c r="G36" i="5"/>
  <c r="F36" i="5"/>
  <c r="E36" i="5"/>
  <c r="D36" i="5"/>
  <c r="C36" i="5"/>
  <c r="G35" i="5"/>
  <c r="F35" i="5"/>
  <c r="E35" i="5"/>
  <c r="D35" i="5"/>
  <c r="C35" i="5"/>
  <c r="G34" i="5"/>
  <c r="F34" i="5"/>
  <c r="E34" i="5"/>
  <c r="D34" i="5"/>
  <c r="C34" i="5"/>
  <c r="G33" i="5"/>
  <c r="F33" i="5"/>
  <c r="E33" i="5"/>
  <c r="D33" i="5"/>
  <c r="C33" i="5"/>
  <c r="G32" i="5"/>
  <c r="F32" i="5"/>
  <c r="E32" i="5"/>
  <c r="D32" i="5"/>
  <c r="C32" i="5"/>
  <c r="G31" i="5"/>
  <c r="F31" i="5"/>
  <c r="E31" i="5"/>
  <c r="D31" i="5"/>
  <c r="C31" i="5"/>
  <c r="G30" i="5"/>
  <c r="F30" i="5"/>
  <c r="E30" i="5"/>
  <c r="D30" i="5"/>
  <c r="C30" i="5"/>
  <c r="G29" i="5"/>
  <c r="F29" i="5"/>
  <c r="E29" i="5"/>
  <c r="D29" i="5"/>
  <c r="C29" i="5"/>
  <c r="G28" i="5"/>
  <c r="F28" i="5"/>
  <c r="E28" i="5"/>
  <c r="D28" i="5"/>
  <c r="C28" i="5"/>
  <c r="G27" i="5"/>
  <c r="F27" i="5"/>
  <c r="E27" i="5"/>
  <c r="D27" i="5"/>
  <c r="C27" i="5"/>
  <c r="G26" i="5"/>
  <c r="F26" i="5"/>
  <c r="E26" i="5"/>
  <c r="D26" i="5"/>
  <c r="C26" i="5"/>
  <c r="G25" i="5"/>
  <c r="F25" i="5"/>
  <c r="E25" i="5"/>
  <c r="D25" i="5"/>
  <c r="C25" i="5"/>
  <c r="G24" i="5"/>
  <c r="F24" i="5"/>
  <c r="E24" i="5"/>
  <c r="D24" i="5"/>
  <c r="C24" i="5"/>
  <c r="G23" i="5"/>
  <c r="F23" i="5"/>
  <c r="E23" i="5"/>
  <c r="D23" i="5"/>
  <c r="C23" i="5"/>
  <c r="G22" i="5"/>
  <c r="F22" i="5"/>
  <c r="E22" i="5"/>
  <c r="D22" i="5"/>
  <c r="C22" i="5"/>
  <c r="G21" i="5"/>
  <c r="F21" i="5"/>
  <c r="E21" i="5"/>
  <c r="D21" i="5"/>
  <c r="C21" i="5"/>
  <c r="G20" i="5"/>
  <c r="F20" i="5"/>
  <c r="E20" i="5"/>
  <c r="D20" i="5"/>
  <c r="C20" i="5"/>
  <c r="G19" i="5"/>
  <c r="F19" i="5"/>
  <c r="E19" i="5"/>
  <c r="D19" i="5"/>
  <c r="C19" i="5"/>
  <c r="G18" i="5"/>
  <c r="F18" i="5"/>
  <c r="E18" i="5"/>
  <c r="D18" i="5"/>
  <c r="C18" i="5"/>
  <c r="G17" i="5"/>
  <c r="F17" i="5"/>
  <c r="E17" i="5"/>
  <c r="D17" i="5"/>
  <c r="C17" i="5"/>
  <c r="G16" i="5"/>
  <c r="F16" i="5"/>
  <c r="E16" i="5"/>
  <c r="D16" i="5"/>
  <c r="C16" i="5"/>
  <c r="G15" i="5"/>
  <c r="F15" i="5"/>
  <c r="E15" i="5"/>
  <c r="D15" i="5"/>
  <c r="C15" i="5"/>
  <c r="G14" i="5"/>
  <c r="F14" i="5"/>
  <c r="E14" i="5"/>
  <c r="D14" i="5"/>
  <c r="C14" i="5"/>
  <c r="G13" i="5"/>
  <c r="F13" i="5"/>
  <c r="E13" i="5"/>
  <c r="D13" i="5"/>
  <c r="C13" i="5"/>
  <c r="G12" i="5"/>
  <c r="F12" i="5"/>
  <c r="E12" i="5"/>
  <c r="D12" i="5"/>
  <c r="C12" i="5"/>
  <c r="G11" i="5"/>
  <c r="F11" i="5"/>
  <c r="E11" i="5"/>
  <c r="D11" i="5"/>
  <c r="C11" i="5"/>
  <c r="G10" i="5"/>
  <c r="F10" i="5"/>
  <c r="E10" i="5"/>
  <c r="D10" i="5"/>
  <c r="C10" i="5"/>
  <c r="G9" i="5"/>
  <c r="F9" i="5"/>
  <c r="E9" i="5"/>
  <c r="D9" i="5"/>
  <c r="C9" i="5"/>
  <c r="G8" i="5"/>
  <c r="F8" i="5"/>
  <c r="E8" i="5"/>
  <c r="D8" i="5"/>
  <c r="C8" i="5"/>
  <c r="G7" i="5"/>
  <c r="F7" i="5"/>
  <c r="E7" i="5"/>
  <c r="D7" i="5"/>
  <c r="C7" i="5"/>
  <c r="G6" i="5"/>
  <c r="F6" i="5"/>
  <c r="E6" i="5"/>
  <c r="D6" i="5"/>
  <c r="C6" i="5"/>
  <c r="G5" i="5"/>
  <c r="F5" i="5"/>
  <c r="E5" i="5"/>
  <c r="D5" i="5"/>
  <c r="C5" i="5"/>
  <c r="G4" i="5"/>
  <c r="F4" i="5"/>
  <c r="E4" i="5"/>
  <c r="D4" i="5"/>
  <c r="C4" i="5"/>
  <c r="G3" i="5"/>
  <c r="F3" i="5"/>
  <c r="E3" i="5"/>
  <c r="D3" i="5"/>
  <c r="C3" i="5"/>
  <c r="L31" i="4"/>
  <c r="K31" i="4"/>
  <c r="J31" i="4"/>
  <c r="I31" i="4"/>
  <c r="H31" i="4"/>
  <c r="G31" i="4"/>
  <c r="F31" i="4"/>
  <c r="E31" i="4"/>
  <c r="D31" i="4"/>
  <c r="C31" i="4"/>
  <c r="L30" i="4"/>
  <c r="K30" i="4"/>
  <c r="J30" i="4"/>
  <c r="I30" i="4"/>
  <c r="H30" i="4"/>
  <c r="G30" i="4"/>
  <c r="F30" i="4"/>
  <c r="E30" i="4"/>
  <c r="D30" i="4"/>
  <c r="C30" i="4"/>
  <c r="L29" i="4"/>
  <c r="K29" i="4"/>
  <c r="J29" i="4"/>
  <c r="I29" i="4"/>
  <c r="H29" i="4"/>
  <c r="G29" i="4"/>
  <c r="F29" i="4"/>
  <c r="E29" i="4"/>
  <c r="D29" i="4"/>
  <c r="C29" i="4"/>
  <c r="L28" i="4"/>
  <c r="K28" i="4"/>
  <c r="J28" i="4"/>
  <c r="I28" i="4"/>
  <c r="H28" i="4"/>
  <c r="G28" i="4"/>
  <c r="F28" i="4"/>
  <c r="E28" i="4"/>
  <c r="D28" i="4"/>
  <c r="C28" i="4"/>
  <c r="L27" i="4"/>
  <c r="K27" i="4"/>
  <c r="J27" i="4"/>
  <c r="I27" i="4"/>
  <c r="H27" i="4"/>
  <c r="G27" i="4"/>
  <c r="F27" i="4"/>
  <c r="E27" i="4"/>
  <c r="D27" i="4"/>
  <c r="C27" i="4"/>
  <c r="L26" i="4"/>
  <c r="K26" i="4"/>
  <c r="J26" i="4"/>
  <c r="I26" i="4"/>
  <c r="H26" i="4"/>
  <c r="G26" i="4"/>
  <c r="F26" i="4"/>
  <c r="E26" i="4"/>
  <c r="D26" i="4"/>
  <c r="C26" i="4"/>
  <c r="L25" i="4"/>
  <c r="K25" i="4"/>
  <c r="J25" i="4"/>
  <c r="I25" i="4"/>
  <c r="H25" i="4"/>
  <c r="G25" i="4"/>
  <c r="F25" i="4"/>
  <c r="E25" i="4"/>
  <c r="D25" i="4"/>
  <c r="C25" i="4"/>
  <c r="L24" i="4"/>
  <c r="K24" i="4"/>
  <c r="J24" i="4"/>
  <c r="I24" i="4"/>
  <c r="H24" i="4"/>
  <c r="G24" i="4"/>
  <c r="F24" i="4"/>
  <c r="E24" i="4"/>
  <c r="D24" i="4"/>
  <c r="C24" i="4"/>
  <c r="L23" i="4"/>
  <c r="K23" i="4"/>
  <c r="J23" i="4"/>
  <c r="I23" i="4"/>
  <c r="H23" i="4"/>
  <c r="G23" i="4"/>
  <c r="F23" i="4"/>
  <c r="E23" i="4"/>
  <c r="D23" i="4"/>
  <c r="C23" i="4"/>
  <c r="L22" i="4"/>
  <c r="K22" i="4"/>
  <c r="J22" i="4"/>
  <c r="I22" i="4"/>
  <c r="H22" i="4"/>
  <c r="G22" i="4"/>
  <c r="F22" i="4"/>
  <c r="E22" i="4"/>
  <c r="D22" i="4"/>
  <c r="C22" i="4"/>
  <c r="L21" i="4"/>
  <c r="K21" i="4"/>
  <c r="J21" i="4"/>
  <c r="I21" i="4"/>
  <c r="H21" i="4"/>
  <c r="G21" i="4"/>
  <c r="F21" i="4"/>
  <c r="E21" i="4"/>
  <c r="D21" i="4"/>
  <c r="C21" i="4"/>
  <c r="L20" i="4"/>
  <c r="K20" i="4"/>
  <c r="J20" i="4"/>
  <c r="I20" i="4"/>
  <c r="H20" i="4"/>
  <c r="G20" i="4"/>
  <c r="F20" i="4"/>
  <c r="E20" i="4"/>
  <c r="D20" i="4"/>
  <c r="C20" i="4"/>
  <c r="L19" i="4"/>
  <c r="K19" i="4"/>
  <c r="J19" i="4"/>
  <c r="I19" i="4"/>
  <c r="H19" i="4"/>
  <c r="G19" i="4"/>
  <c r="F19" i="4"/>
  <c r="E19" i="4"/>
  <c r="D19" i="4"/>
  <c r="C19" i="4"/>
  <c r="L18" i="4"/>
  <c r="K18" i="4"/>
  <c r="J18" i="4"/>
  <c r="I18" i="4"/>
  <c r="H18" i="4"/>
  <c r="G18" i="4"/>
  <c r="F18" i="4"/>
  <c r="E18" i="4"/>
  <c r="D18" i="4"/>
  <c r="C18" i="4"/>
  <c r="L17" i="4"/>
  <c r="K17" i="4"/>
  <c r="J17" i="4"/>
  <c r="I17" i="4"/>
  <c r="H17" i="4"/>
  <c r="G17" i="4"/>
  <c r="F17" i="4"/>
  <c r="E17" i="4"/>
  <c r="D17" i="4"/>
  <c r="C17" i="4"/>
  <c r="L16" i="4"/>
  <c r="K16" i="4"/>
  <c r="J16" i="4"/>
  <c r="I16" i="4"/>
  <c r="H16" i="4"/>
  <c r="G16" i="4"/>
  <c r="F16" i="4"/>
  <c r="E16" i="4"/>
  <c r="D16" i="4"/>
  <c r="C16" i="4"/>
  <c r="L15" i="4"/>
  <c r="K15" i="4"/>
  <c r="J15" i="4"/>
  <c r="I15" i="4"/>
  <c r="H15" i="4"/>
  <c r="G15" i="4"/>
  <c r="F15" i="4"/>
  <c r="E15" i="4"/>
  <c r="D15" i="4"/>
  <c r="C15" i="4"/>
  <c r="L14" i="4"/>
  <c r="K14" i="4"/>
  <c r="J14" i="4"/>
  <c r="I14" i="4"/>
  <c r="H14" i="4"/>
  <c r="G14" i="4"/>
  <c r="F14" i="4"/>
  <c r="E14" i="4"/>
  <c r="D14" i="4"/>
  <c r="C14" i="4"/>
  <c r="L13" i="4"/>
  <c r="K13" i="4"/>
  <c r="J13" i="4"/>
  <c r="I13" i="4"/>
  <c r="H13" i="4"/>
  <c r="G13" i="4"/>
  <c r="F13" i="4"/>
  <c r="E13" i="4"/>
  <c r="D13" i="4"/>
  <c r="C13" i="4"/>
  <c r="L12" i="4"/>
  <c r="K12" i="4"/>
  <c r="J12" i="4"/>
  <c r="I12" i="4"/>
  <c r="H12" i="4"/>
  <c r="G12" i="4"/>
  <c r="F12" i="4"/>
  <c r="E12" i="4"/>
  <c r="D12" i="4"/>
  <c r="C12" i="4"/>
  <c r="L11" i="4"/>
  <c r="K11" i="4"/>
  <c r="J11" i="4"/>
  <c r="I11" i="4"/>
  <c r="H11" i="4"/>
  <c r="G11" i="4"/>
  <c r="F11" i="4"/>
  <c r="E11" i="4"/>
  <c r="D11" i="4"/>
  <c r="C11" i="4"/>
  <c r="L10" i="4"/>
  <c r="K10" i="4"/>
  <c r="J10" i="4"/>
  <c r="I10" i="4"/>
  <c r="H10" i="4"/>
  <c r="G10" i="4"/>
  <c r="F10" i="4"/>
  <c r="E10" i="4"/>
  <c r="D10" i="4"/>
  <c r="C10" i="4"/>
  <c r="L9" i="4"/>
  <c r="K9" i="4"/>
  <c r="J9" i="4"/>
  <c r="I9" i="4"/>
  <c r="H9" i="4"/>
  <c r="G9" i="4"/>
  <c r="F9" i="4"/>
  <c r="E9" i="4"/>
  <c r="D9" i="4"/>
  <c r="C9" i="4"/>
  <c r="L8" i="4"/>
  <c r="K8" i="4"/>
  <c r="J8" i="4"/>
  <c r="I8" i="4"/>
  <c r="H8" i="4"/>
  <c r="G8" i="4"/>
  <c r="F8" i="4"/>
  <c r="E8" i="4"/>
  <c r="D8" i="4"/>
  <c r="C8" i="4"/>
  <c r="L7" i="4"/>
  <c r="K7" i="4"/>
  <c r="J7" i="4"/>
  <c r="I7" i="4"/>
  <c r="H7" i="4"/>
  <c r="G7" i="4"/>
  <c r="F7" i="4"/>
  <c r="E7" i="4"/>
  <c r="D7" i="4"/>
  <c r="C7" i="4"/>
  <c r="L6" i="4"/>
  <c r="K6" i="4"/>
  <c r="J6" i="4"/>
  <c r="I6" i="4"/>
  <c r="H6" i="4"/>
  <c r="G6" i="4"/>
  <c r="F6" i="4"/>
  <c r="E6" i="4"/>
  <c r="D6" i="4"/>
  <c r="C6" i="4"/>
  <c r="L5" i="4"/>
  <c r="K5" i="4"/>
  <c r="J5" i="4"/>
  <c r="I5" i="4"/>
  <c r="H5" i="4"/>
  <c r="G5" i="4"/>
  <c r="F5" i="4"/>
  <c r="E5" i="4"/>
  <c r="D5" i="4"/>
  <c r="C5" i="4"/>
  <c r="L4" i="4"/>
  <c r="K4" i="4"/>
  <c r="J4" i="4"/>
  <c r="I4" i="4"/>
  <c r="H4" i="4"/>
  <c r="G4" i="4"/>
  <c r="F4" i="4"/>
  <c r="E4" i="4"/>
  <c r="D4" i="4"/>
  <c r="C4" i="4"/>
  <c r="L3" i="4"/>
  <c r="K3" i="4"/>
  <c r="J3" i="4"/>
  <c r="I3" i="4"/>
  <c r="H3" i="4"/>
  <c r="G3" i="4"/>
  <c r="F3" i="4"/>
  <c r="E3" i="4"/>
  <c r="D3" i="4"/>
  <c r="C3" i="4"/>
  <c r="L90" i="3"/>
  <c r="K90" i="3"/>
  <c r="J90" i="3"/>
  <c r="I90" i="3"/>
  <c r="H90" i="3"/>
  <c r="G90" i="3"/>
  <c r="F90" i="3"/>
  <c r="E90" i="3"/>
  <c r="D90" i="3"/>
  <c r="C90" i="3"/>
  <c r="L89" i="3"/>
  <c r="K89" i="3"/>
  <c r="J89" i="3"/>
  <c r="I89" i="3"/>
  <c r="H89" i="3"/>
  <c r="G89" i="3"/>
  <c r="F89" i="3"/>
  <c r="E89" i="3"/>
  <c r="D89" i="3"/>
  <c r="C89" i="3"/>
  <c r="L88" i="3"/>
  <c r="K88" i="3"/>
  <c r="J88" i="3"/>
  <c r="I88" i="3"/>
  <c r="H88" i="3"/>
  <c r="G88" i="3"/>
  <c r="F88" i="3"/>
  <c r="E88" i="3"/>
  <c r="D88" i="3"/>
  <c r="C88" i="3"/>
  <c r="L87" i="3"/>
  <c r="K87" i="3"/>
  <c r="J87" i="3"/>
  <c r="I87" i="3"/>
  <c r="H87" i="3"/>
  <c r="G87" i="3"/>
  <c r="F87" i="3"/>
  <c r="E87" i="3"/>
  <c r="D87" i="3"/>
  <c r="C87" i="3"/>
  <c r="L86" i="3"/>
  <c r="K86" i="3"/>
  <c r="J86" i="3"/>
  <c r="I86" i="3"/>
  <c r="H86" i="3"/>
  <c r="G86" i="3"/>
  <c r="F86" i="3"/>
  <c r="E86" i="3"/>
  <c r="D86" i="3"/>
  <c r="C86" i="3"/>
  <c r="L85" i="3"/>
  <c r="K85" i="3"/>
  <c r="J85" i="3"/>
  <c r="I85" i="3"/>
  <c r="H85" i="3"/>
  <c r="G85" i="3"/>
  <c r="F85" i="3"/>
  <c r="E85" i="3"/>
  <c r="D85" i="3"/>
  <c r="C85" i="3"/>
  <c r="L84" i="3"/>
  <c r="K84" i="3"/>
  <c r="J84" i="3"/>
  <c r="I84" i="3"/>
  <c r="H84" i="3"/>
  <c r="G84" i="3"/>
  <c r="F84" i="3"/>
  <c r="E84" i="3"/>
  <c r="D84" i="3"/>
  <c r="C84" i="3"/>
  <c r="L83" i="3"/>
  <c r="K83" i="3"/>
  <c r="J83" i="3"/>
  <c r="I83" i="3"/>
  <c r="H83" i="3"/>
  <c r="G83" i="3"/>
  <c r="F83" i="3"/>
  <c r="E83" i="3"/>
  <c r="D83" i="3"/>
  <c r="C83" i="3"/>
  <c r="L82" i="3"/>
  <c r="K82" i="3"/>
  <c r="J82" i="3"/>
  <c r="I82" i="3"/>
  <c r="H82" i="3"/>
  <c r="G82" i="3"/>
  <c r="F82" i="3"/>
  <c r="E82" i="3"/>
  <c r="D82" i="3"/>
  <c r="C82" i="3"/>
  <c r="L81" i="3"/>
  <c r="K81" i="3"/>
  <c r="J81" i="3"/>
  <c r="I81" i="3"/>
  <c r="H81" i="3"/>
  <c r="G81" i="3"/>
  <c r="F81" i="3"/>
  <c r="E81" i="3"/>
  <c r="D81" i="3"/>
  <c r="C81" i="3"/>
  <c r="L80" i="3"/>
  <c r="K80" i="3"/>
  <c r="J80" i="3"/>
  <c r="I80" i="3"/>
  <c r="H80" i="3"/>
  <c r="G80" i="3"/>
  <c r="F80" i="3"/>
  <c r="E80" i="3"/>
  <c r="D80" i="3"/>
  <c r="C80" i="3"/>
  <c r="L79" i="3"/>
  <c r="K79" i="3"/>
  <c r="J79" i="3"/>
  <c r="I79" i="3"/>
  <c r="H79" i="3"/>
  <c r="G79" i="3"/>
  <c r="F79" i="3"/>
  <c r="E79" i="3"/>
  <c r="D79" i="3"/>
  <c r="C79" i="3"/>
  <c r="L78" i="3"/>
  <c r="K78" i="3"/>
  <c r="J78" i="3"/>
  <c r="I78" i="3"/>
  <c r="H78" i="3"/>
  <c r="G78" i="3"/>
  <c r="F78" i="3"/>
  <c r="E78" i="3"/>
  <c r="D78" i="3"/>
  <c r="C78" i="3"/>
  <c r="L77" i="3"/>
  <c r="K77" i="3"/>
  <c r="J77" i="3"/>
  <c r="I77" i="3"/>
  <c r="H77" i="3"/>
  <c r="G77" i="3"/>
  <c r="F77" i="3"/>
  <c r="E77" i="3"/>
  <c r="D77" i="3"/>
  <c r="C77" i="3"/>
  <c r="L76" i="3"/>
  <c r="K76" i="3"/>
  <c r="J76" i="3"/>
  <c r="I76" i="3"/>
  <c r="H76" i="3"/>
  <c r="G76" i="3"/>
  <c r="F76" i="3"/>
  <c r="E76" i="3"/>
  <c r="D76" i="3"/>
  <c r="C76" i="3"/>
  <c r="L75" i="3"/>
  <c r="K75" i="3"/>
  <c r="J75" i="3"/>
  <c r="I75" i="3"/>
  <c r="H75" i="3"/>
  <c r="G75" i="3"/>
  <c r="F75" i="3"/>
  <c r="E75" i="3"/>
  <c r="D75" i="3"/>
  <c r="C75" i="3"/>
  <c r="L74" i="3"/>
  <c r="K74" i="3"/>
  <c r="J74" i="3"/>
  <c r="I74" i="3"/>
  <c r="H74" i="3"/>
  <c r="G74" i="3"/>
  <c r="F74" i="3"/>
  <c r="E74" i="3"/>
  <c r="D74" i="3"/>
  <c r="C74" i="3"/>
  <c r="L73" i="3"/>
  <c r="K73" i="3"/>
  <c r="J73" i="3"/>
  <c r="I73" i="3"/>
  <c r="H73" i="3"/>
  <c r="G73" i="3"/>
  <c r="F73" i="3"/>
  <c r="E73" i="3"/>
  <c r="D73" i="3"/>
  <c r="C73" i="3"/>
  <c r="L72" i="3"/>
  <c r="K72" i="3"/>
  <c r="J72" i="3"/>
  <c r="I72" i="3"/>
  <c r="H72" i="3"/>
  <c r="G72" i="3"/>
  <c r="F72" i="3"/>
  <c r="E72" i="3"/>
  <c r="D72" i="3"/>
  <c r="C72" i="3"/>
  <c r="L71" i="3"/>
  <c r="K71" i="3"/>
  <c r="J71" i="3"/>
  <c r="I71" i="3"/>
  <c r="H71" i="3"/>
  <c r="G71" i="3"/>
  <c r="F71" i="3"/>
  <c r="E71" i="3"/>
  <c r="D71" i="3"/>
  <c r="C71" i="3"/>
  <c r="L70" i="3"/>
  <c r="K70" i="3"/>
  <c r="J70" i="3"/>
  <c r="I70" i="3"/>
  <c r="H70" i="3"/>
  <c r="G70" i="3"/>
  <c r="F70" i="3"/>
  <c r="E70" i="3"/>
  <c r="D70" i="3"/>
  <c r="C70" i="3"/>
  <c r="L69" i="3"/>
  <c r="K69" i="3"/>
  <c r="J69" i="3"/>
  <c r="I69" i="3"/>
  <c r="H69" i="3"/>
  <c r="G69" i="3"/>
  <c r="F69" i="3"/>
  <c r="E69" i="3"/>
  <c r="D69" i="3"/>
  <c r="C69" i="3"/>
  <c r="L68" i="3"/>
  <c r="K68" i="3"/>
  <c r="J68" i="3"/>
  <c r="I68" i="3"/>
  <c r="H68" i="3"/>
  <c r="G68" i="3"/>
  <c r="F68" i="3"/>
  <c r="E68" i="3"/>
  <c r="D68" i="3"/>
  <c r="C68" i="3"/>
  <c r="L67" i="3"/>
  <c r="K67" i="3"/>
  <c r="J67" i="3"/>
  <c r="I67" i="3"/>
  <c r="H67" i="3"/>
  <c r="G67" i="3"/>
  <c r="F67" i="3"/>
  <c r="E67" i="3"/>
  <c r="D67" i="3"/>
  <c r="C67" i="3"/>
  <c r="L66" i="3"/>
  <c r="K66" i="3"/>
  <c r="J66" i="3"/>
  <c r="I66" i="3"/>
  <c r="H66" i="3"/>
  <c r="G66" i="3"/>
  <c r="F66" i="3"/>
  <c r="E66" i="3"/>
  <c r="D66" i="3"/>
  <c r="C66" i="3"/>
  <c r="L65" i="3"/>
  <c r="K65" i="3"/>
  <c r="J65" i="3"/>
  <c r="I65" i="3"/>
  <c r="H65" i="3"/>
  <c r="G65" i="3"/>
  <c r="F65" i="3"/>
  <c r="E65" i="3"/>
  <c r="D65" i="3"/>
  <c r="C65" i="3"/>
  <c r="L64" i="3"/>
  <c r="K64" i="3"/>
  <c r="J64" i="3"/>
  <c r="I64" i="3"/>
  <c r="H64" i="3"/>
  <c r="G64" i="3"/>
  <c r="F64" i="3"/>
  <c r="E64" i="3"/>
  <c r="D64" i="3"/>
  <c r="C64" i="3"/>
  <c r="L63" i="3"/>
  <c r="K63" i="3"/>
  <c r="J63" i="3"/>
  <c r="I63" i="3"/>
  <c r="H63" i="3"/>
  <c r="G63" i="3"/>
  <c r="F63" i="3"/>
  <c r="E63" i="3"/>
  <c r="D63" i="3"/>
  <c r="C63" i="3"/>
  <c r="L62" i="3"/>
  <c r="K62" i="3"/>
  <c r="J62" i="3"/>
  <c r="I62" i="3"/>
  <c r="H62" i="3"/>
  <c r="G62" i="3"/>
  <c r="F62" i="3"/>
  <c r="E62" i="3"/>
  <c r="D62" i="3"/>
  <c r="C62" i="3"/>
  <c r="L61" i="3"/>
  <c r="K61" i="3"/>
  <c r="J61" i="3"/>
  <c r="I61" i="3"/>
  <c r="H61" i="3"/>
  <c r="G61" i="3"/>
  <c r="F61" i="3"/>
  <c r="E61" i="3"/>
  <c r="D61" i="3"/>
  <c r="C61" i="3"/>
  <c r="L60" i="3"/>
  <c r="K60" i="3"/>
  <c r="J60" i="3"/>
  <c r="I60" i="3"/>
  <c r="H60" i="3"/>
  <c r="G60" i="3"/>
  <c r="F60" i="3"/>
  <c r="E60" i="3"/>
  <c r="D60" i="3"/>
  <c r="C60" i="3"/>
  <c r="L59" i="3"/>
  <c r="K59" i="3"/>
  <c r="J59" i="3"/>
  <c r="I59" i="3"/>
  <c r="H59" i="3"/>
  <c r="G59" i="3"/>
  <c r="F59" i="3"/>
  <c r="E59" i="3"/>
  <c r="D59" i="3"/>
  <c r="C59" i="3"/>
  <c r="L58" i="3"/>
  <c r="K58" i="3"/>
  <c r="J58" i="3"/>
  <c r="I58" i="3"/>
  <c r="H58" i="3"/>
  <c r="G58" i="3"/>
  <c r="F58" i="3"/>
  <c r="E58" i="3"/>
  <c r="D58" i="3"/>
  <c r="C58" i="3"/>
  <c r="L57" i="3"/>
  <c r="K57" i="3"/>
  <c r="J57" i="3"/>
  <c r="I57" i="3"/>
  <c r="H57" i="3"/>
  <c r="G57" i="3"/>
  <c r="F57" i="3"/>
  <c r="E57" i="3"/>
  <c r="D57" i="3"/>
  <c r="C57" i="3"/>
  <c r="L56" i="3"/>
  <c r="K56" i="3"/>
  <c r="J56" i="3"/>
  <c r="I56" i="3"/>
  <c r="H56" i="3"/>
  <c r="G56" i="3"/>
  <c r="F56" i="3"/>
  <c r="E56" i="3"/>
  <c r="D56" i="3"/>
  <c r="C56" i="3"/>
  <c r="L55" i="3"/>
  <c r="K55" i="3"/>
  <c r="J55" i="3"/>
  <c r="I55" i="3"/>
  <c r="H55" i="3"/>
  <c r="G55" i="3"/>
  <c r="F55" i="3"/>
  <c r="E55" i="3"/>
  <c r="D55" i="3"/>
  <c r="C55" i="3"/>
  <c r="L54" i="3"/>
  <c r="K54" i="3"/>
  <c r="J54" i="3"/>
  <c r="I54" i="3"/>
  <c r="H54" i="3"/>
  <c r="G54" i="3"/>
  <c r="F54" i="3"/>
  <c r="E54" i="3"/>
  <c r="D54" i="3"/>
  <c r="C54" i="3"/>
  <c r="L53" i="3"/>
  <c r="K53" i="3"/>
  <c r="J53" i="3"/>
  <c r="I53" i="3"/>
  <c r="H53" i="3"/>
  <c r="G53" i="3"/>
  <c r="F53" i="3"/>
  <c r="E53" i="3"/>
  <c r="D53" i="3"/>
  <c r="C53" i="3"/>
  <c r="L52" i="3"/>
  <c r="K52" i="3"/>
  <c r="J52" i="3"/>
  <c r="I52" i="3"/>
  <c r="H52" i="3"/>
  <c r="G52" i="3"/>
  <c r="F52" i="3"/>
  <c r="E52" i="3"/>
  <c r="D52" i="3"/>
  <c r="C52" i="3"/>
  <c r="L51" i="3"/>
  <c r="K51" i="3"/>
  <c r="J51" i="3"/>
  <c r="I51" i="3"/>
  <c r="H51" i="3"/>
  <c r="G51" i="3"/>
  <c r="F51" i="3"/>
  <c r="E51" i="3"/>
  <c r="D51" i="3"/>
  <c r="C51" i="3"/>
  <c r="L50" i="3"/>
  <c r="K50" i="3"/>
  <c r="J50" i="3"/>
  <c r="I50" i="3"/>
  <c r="H50" i="3"/>
  <c r="G50" i="3"/>
  <c r="F50" i="3"/>
  <c r="E50" i="3"/>
  <c r="D50" i="3"/>
  <c r="C50" i="3"/>
  <c r="L49" i="3"/>
  <c r="K49" i="3"/>
  <c r="J49" i="3"/>
  <c r="I49" i="3"/>
  <c r="H49" i="3"/>
  <c r="G49" i="3"/>
  <c r="F49" i="3"/>
  <c r="E49" i="3"/>
  <c r="D49" i="3"/>
  <c r="C49" i="3"/>
  <c r="L48" i="3"/>
  <c r="K48" i="3"/>
  <c r="J48" i="3"/>
  <c r="I48" i="3"/>
  <c r="H48" i="3"/>
  <c r="G48" i="3"/>
  <c r="F48" i="3"/>
  <c r="E48" i="3"/>
  <c r="D48" i="3"/>
  <c r="C48" i="3"/>
  <c r="L47" i="3"/>
  <c r="K47" i="3"/>
  <c r="J47" i="3"/>
  <c r="I47" i="3"/>
  <c r="H47" i="3"/>
  <c r="G47" i="3"/>
  <c r="F47" i="3"/>
  <c r="E47" i="3"/>
  <c r="D47" i="3"/>
  <c r="C47" i="3"/>
  <c r="L46" i="3"/>
  <c r="K46" i="3"/>
  <c r="J46" i="3"/>
  <c r="I46" i="3"/>
  <c r="H46" i="3"/>
  <c r="G46" i="3"/>
  <c r="F46" i="3"/>
  <c r="E46" i="3"/>
  <c r="D46" i="3"/>
  <c r="C46" i="3"/>
  <c r="L45" i="3"/>
  <c r="K45" i="3"/>
  <c r="J45" i="3"/>
  <c r="I45" i="3"/>
  <c r="H45" i="3"/>
  <c r="G45" i="3"/>
  <c r="F45" i="3"/>
  <c r="E45" i="3"/>
  <c r="D45" i="3"/>
  <c r="C45" i="3"/>
  <c r="L44" i="3"/>
  <c r="K44" i="3"/>
  <c r="J44" i="3"/>
  <c r="I44" i="3"/>
  <c r="H44" i="3"/>
  <c r="G44" i="3"/>
  <c r="F44" i="3"/>
  <c r="E44" i="3"/>
  <c r="D44" i="3"/>
  <c r="C44" i="3"/>
  <c r="L43" i="3"/>
  <c r="K43" i="3"/>
  <c r="J43" i="3"/>
  <c r="I43" i="3"/>
  <c r="H43" i="3"/>
  <c r="G43" i="3"/>
  <c r="F43" i="3"/>
  <c r="E43" i="3"/>
  <c r="D43" i="3"/>
  <c r="C43" i="3"/>
  <c r="L42" i="3"/>
  <c r="K42" i="3"/>
  <c r="J42" i="3"/>
  <c r="I42" i="3"/>
  <c r="H42" i="3"/>
  <c r="G42" i="3"/>
  <c r="F42" i="3"/>
  <c r="E42" i="3"/>
  <c r="D42" i="3"/>
  <c r="C42" i="3"/>
  <c r="L41" i="3"/>
  <c r="K41" i="3"/>
  <c r="J41" i="3"/>
  <c r="I41" i="3"/>
  <c r="H41" i="3"/>
  <c r="G41" i="3"/>
  <c r="F41" i="3"/>
  <c r="E41" i="3"/>
  <c r="D41" i="3"/>
  <c r="C41" i="3"/>
  <c r="L40" i="3"/>
  <c r="K40" i="3"/>
  <c r="J40" i="3"/>
  <c r="I40" i="3"/>
  <c r="H40" i="3"/>
  <c r="G40" i="3"/>
  <c r="F40" i="3"/>
  <c r="E40" i="3"/>
  <c r="D40" i="3"/>
  <c r="C40" i="3"/>
  <c r="L39" i="3"/>
  <c r="K39" i="3"/>
  <c r="J39" i="3"/>
  <c r="I39" i="3"/>
  <c r="H39" i="3"/>
  <c r="G39" i="3"/>
  <c r="F39" i="3"/>
  <c r="E39" i="3"/>
  <c r="D39" i="3"/>
  <c r="C39" i="3"/>
  <c r="L38" i="3"/>
  <c r="K38" i="3"/>
  <c r="J38" i="3"/>
  <c r="I38" i="3"/>
  <c r="H38" i="3"/>
  <c r="G38" i="3"/>
  <c r="F38" i="3"/>
  <c r="E38" i="3"/>
  <c r="D38" i="3"/>
  <c r="C38" i="3"/>
  <c r="L37" i="3"/>
  <c r="K37" i="3"/>
  <c r="J37" i="3"/>
  <c r="I37" i="3"/>
  <c r="H37" i="3"/>
  <c r="G37" i="3"/>
  <c r="F37" i="3"/>
  <c r="E37" i="3"/>
  <c r="D37" i="3"/>
  <c r="C37" i="3"/>
  <c r="L36" i="3"/>
  <c r="K36" i="3"/>
  <c r="J36" i="3"/>
  <c r="I36" i="3"/>
  <c r="H36" i="3"/>
  <c r="G36" i="3"/>
  <c r="F36" i="3"/>
  <c r="E36" i="3"/>
  <c r="D36" i="3"/>
  <c r="C36" i="3"/>
  <c r="L35" i="3"/>
  <c r="K35" i="3"/>
  <c r="J35" i="3"/>
  <c r="I35" i="3"/>
  <c r="H35" i="3"/>
  <c r="G35" i="3"/>
  <c r="F35" i="3"/>
  <c r="E35" i="3"/>
  <c r="D35" i="3"/>
  <c r="C35" i="3"/>
  <c r="L34" i="3"/>
  <c r="K34" i="3"/>
  <c r="J34" i="3"/>
  <c r="I34" i="3"/>
  <c r="H34" i="3"/>
  <c r="G34" i="3"/>
  <c r="F34" i="3"/>
  <c r="E34" i="3"/>
  <c r="D34" i="3"/>
  <c r="C34" i="3"/>
  <c r="L33" i="3"/>
  <c r="K33" i="3"/>
  <c r="J33" i="3"/>
  <c r="I33" i="3"/>
  <c r="H33" i="3"/>
  <c r="G33" i="3"/>
  <c r="F33" i="3"/>
  <c r="E33" i="3"/>
  <c r="D33" i="3"/>
  <c r="C33" i="3"/>
  <c r="L32" i="3"/>
  <c r="K32" i="3"/>
  <c r="J32" i="3"/>
  <c r="I32" i="3"/>
  <c r="H32" i="3"/>
  <c r="G32" i="3"/>
  <c r="F32" i="3"/>
  <c r="E32" i="3"/>
  <c r="D32" i="3"/>
  <c r="C32" i="3"/>
  <c r="L31" i="3"/>
  <c r="K31" i="3"/>
  <c r="J31" i="3"/>
  <c r="I31" i="3"/>
  <c r="H31" i="3"/>
  <c r="G31" i="3"/>
  <c r="F31" i="3"/>
  <c r="E31" i="3"/>
  <c r="D31" i="3"/>
  <c r="C31" i="3"/>
  <c r="L30" i="3"/>
  <c r="K30" i="3"/>
  <c r="J30" i="3"/>
  <c r="I30" i="3"/>
  <c r="H30" i="3"/>
  <c r="G30" i="3"/>
  <c r="F30" i="3"/>
  <c r="E30" i="3"/>
  <c r="D30" i="3"/>
  <c r="C30" i="3"/>
  <c r="L29" i="3"/>
  <c r="K29" i="3"/>
  <c r="J29" i="3"/>
  <c r="I29" i="3"/>
  <c r="H29" i="3"/>
  <c r="G29" i="3"/>
  <c r="F29" i="3"/>
  <c r="E29" i="3"/>
  <c r="D29" i="3"/>
  <c r="C29" i="3"/>
  <c r="L28" i="3"/>
  <c r="K28" i="3"/>
  <c r="J28" i="3"/>
  <c r="I28" i="3"/>
  <c r="H28" i="3"/>
  <c r="G28" i="3"/>
  <c r="F28" i="3"/>
  <c r="E28" i="3"/>
  <c r="D28" i="3"/>
  <c r="C28" i="3"/>
  <c r="L27" i="3"/>
  <c r="K27" i="3"/>
  <c r="J27" i="3"/>
  <c r="I27" i="3"/>
  <c r="H27" i="3"/>
  <c r="G27" i="3"/>
  <c r="F27" i="3"/>
  <c r="E27" i="3"/>
  <c r="D27" i="3"/>
  <c r="C27" i="3"/>
  <c r="L26" i="3"/>
  <c r="K26" i="3"/>
  <c r="J26" i="3"/>
  <c r="I26" i="3"/>
  <c r="H26" i="3"/>
  <c r="G26" i="3"/>
  <c r="F26" i="3"/>
  <c r="E26" i="3"/>
  <c r="D26" i="3"/>
  <c r="C26" i="3"/>
  <c r="L25" i="3"/>
  <c r="K25" i="3"/>
  <c r="J25" i="3"/>
  <c r="I25" i="3"/>
  <c r="H25" i="3"/>
  <c r="G25" i="3"/>
  <c r="F25" i="3"/>
  <c r="E25" i="3"/>
  <c r="D25" i="3"/>
  <c r="C25" i="3"/>
  <c r="L24" i="3"/>
  <c r="K24" i="3"/>
  <c r="J24" i="3"/>
  <c r="I24" i="3"/>
  <c r="H24" i="3"/>
  <c r="G24" i="3"/>
  <c r="F24" i="3"/>
  <c r="E24" i="3"/>
  <c r="D24" i="3"/>
  <c r="C24" i="3"/>
  <c r="L23" i="3"/>
  <c r="K23" i="3"/>
  <c r="J23" i="3"/>
  <c r="I23" i="3"/>
  <c r="H23" i="3"/>
  <c r="G23" i="3"/>
  <c r="F23" i="3"/>
  <c r="E23" i="3"/>
  <c r="D23" i="3"/>
  <c r="C23" i="3"/>
  <c r="L22" i="3"/>
  <c r="K22" i="3"/>
  <c r="J22" i="3"/>
  <c r="I22" i="3"/>
  <c r="H22" i="3"/>
  <c r="G22" i="3"/>
  <c r="F22" i="3"/>
  <c r="E22" i="3"/>
  <c r="D22" i="3"/>
  <c r="C22" i="3"/>
  <c r="L21" i="3"/>
  <c r="K21" i="3"/>
  <c r="J21" i="3"/>
  <c r="I21" i="3"/>
  <c r="H21" i="3"/>
  <c r="G21" i="3"/>
  <c r="F21" i="3"/>
  <c r="E21" i="3"/>
  <c r="D21" i="3"/>
  <c r="C21" i="3"/>
  <c r="L20" i="3"/>
  <c r="K20" i="3"/>
  <c r="J20" i="3"/>
  <c r="I20" i="3"/>
  <c r="H20" i="3"/>
  <c r="G20" i="3"/>
  <c r="F20" i="3"/>
  <c r="E20" i="3"/>
  <c r="D20" i="3"/>
  <c r="C20" i="3"/>
  <c r="L19" i="3"/>
  <c r="K19" i="3"/>
  <c r="J19" i="3"/>
  <c r="I19" i="3"/>
  <c r="H19" i="3"/>
  <c r="G19" i="3"/>
  <c r="F19" i="3"/>
  <c r="E19" i="3"/>
  <c r="D19" i="3"/>
  <c r="C19" i="3"/>
  <c r="L18" i="3"/>
  <c r="K18" i="3"/>
  <c r="J18" i="3"/>
  <c r="I18" i="3"/>
  <c r="H18" i="3"/>
  <c r="G18" i="3"/>
  <c r="F18" i="3"/>
  <c r="E18" i="3"/>
  <c r="D18" i="3"/>
  <c r="C18" i="3"/>
  <c r="L17" i="3"/>
  <c r="K17" i="3"/>
  <c r="J17" i="3"/>
  <c r="I17" i="3"/>
  <c r="H17" i="3"/>
  <c r="G17" i="3"/>
  <c r="F17" i="3"/>
  <c r="E17" i="3"/>
  <c r="D17" i="3"/>
  <c r="C17" i="3"/>
  <c r="L16" i="3"/>
  <c r="K16" i="3"/>
  <c r="J16" i="3"/>
  <c r="I16" i="3"/>
  <c r="H16" i="3"/>
  <c r="G16" i="3"/>
  <c r="F16" i="3"/>
  <c r="E16" i="3"/>
  <c r="D16" i="3"/>
  <c r="C16" i="3"/>
  <c r="L15" i="3"/>
  <c r="K15" i="3"/>
  <c r="J15" i="3"/>
  <c r="I15" i="3"/>
  <c r="H15" i="3"/>
  <c r="G15" i="3"/>
  <c r="F15" i="3"/>
  <c r="E15" i="3"/>
  <c r="D15" i="3"/>
  <c r="C15" i="3"/>
  <c r="L14" i="3"/>
  <c r="K14" i="3"/>
  <c r="J14" i="3"/>
  <c r="I14" i="3"/>
  <c r="H14" i="3"/>
  <c r="G14" i="3"/>
  <c r="F14" i="3"/>
  <c r="E14" i="3"/>
  <c r="D14" i="3"/>
  <c r="C14" i="3"/>
  <c r="L13" i="3"/>
  <c r="K13" i="3"/>
  <c r="J13" i="3"/>
  <c r="I13" i="3"/>
  <c r="H13" i="3"/>
  <c r="G13" i="3"/>
  <c r="F13" i="3"/>
  <c r="E13" i="3"/>
  <c r="D13" i="3"/>
  <c r="C13" i="3"/>
  <c r="L12" i="3"/>
  <c r="K12" i="3"/>
  <c r="J12" i="3"/>
  <c r="I12" i="3"/>
  <c r="H12" i="3"/>
  <c r="G12" i="3"/>
  <c r="F12" i="3"/>
  <c r="E12" i="3"/>
  <c r="D12" i="3"/>
  <c r="C12" i="3"/>
  <c r="L11" i="3"/>
  <c r="K11" i="3"/>
  <c r="J11" i="3"/>
  <c r="I11" i="3"/>
  <c r="H11" i="3"/>
  <c r="G11" i="3"/>
  <c r="F11" i="3"/>
  <c r="E11" i="3"/>
  <c r="D11" i="3"/>
  <c r="C11" i="3"/>
  <c r="L10" i="3"/>
  <c r="K10" i="3"/>
  <c r="J10" i="3"/>
  <c r="I10" i="3"/>
  <c r="H10" i="3"/>
  <c r="G10" i="3"/>
  <c r="F10" i="3"/>
  <c r="E10" i="3"/>
  <c r="D10" i="3"/>
  <c r="C10" i="3"/>
  <c r="L9" i="3"/>
  <c r="K9" i="3"/>
  <c r="J9" i="3"/>
  <c r="I9" i="3"/>
  <c r="H9" i="3"/>
  <c r="G9" i="3"/>
  <c r="F9" i="3"/>
  <c r="E9" i="3"/>
  <c r="D9" i="3"/>
  <c r="C9" i="3"/>
  <c r="L8" i="3"/>
  <c r="K8" i="3"/>
  <c r="J8" i="3"/>
  <c r="I8" i="3"/>
  <c r="H8" i="3"/>
  <c r="G8" i="3"/>
  <c r="F8" i="3"/>
  <c r="E8" i="3"/>
  <c r="D8" i="3"/>
  <c r="C8" i="3"/>
  <c r="L7" i="3"/>
  <c r="K7" i="3"/>
  <c r="J7" i="3"/>
  <c r="I7" i="3"/>
  <c r="H7" i="3"/>
  <c r="G7" i="3"/>
  <c r="F7" i="3"/>
  <c r="E7" i="3"/>
  <c r="D7" i="3"/>
  <c r="C7" i="3"/>
  <c r="L6" i="3"/>
  <c r="K6" i="3"/>
  <c r="J6" i="3"/>
  <c r="I6" i="3"/>
  <c r="H6" i="3"/>
  <c r="G6" i="3"/>
  <c r="F6" i="3"/>
  <c r="E6" i="3"/>
  <c r="D6" i="3"/>
  <c r="C6" i="3"/>
  <c r="L5" i="3"/>
  <c r="K5" i="3"/>
  <c r="J5" i="3"/>
  <c r="I5" i="3"/>
  <c r="H5" i="3"/>
  <c r="G5" i="3"/>
  <c r="F5" i="3"/>
  <c r="E5" i="3"/>
  <c r="D5" i="3"/>
  <c r="C5" i="3"/>
  <c r="L4" i="3"/>
  <c r="K4" i="3"/>
  <c r="J4" i="3"/>
  <c r="I4" i="3"/>
  <c r="H4" i="3"/>
  <c r="G4" i="3"/>
  <c r="F4" i="3"/>
  <c r="E4" i="3"/>
  <c r="D4" i="3"/>
  <c r="C4" i="3"/>
  <c r="L3" i="3"/>
  <c r="K3" i="3"/>
  <c r="J3" i="3"/>
  <c r="I3" i="3"/>
  <c r="H3" i="3"/>
  <c r="G3" i="3"/>
  <c r="F3" i="3"/>
  <c r="E3" i="3"/>
  <c r="D3" i="3"/>
  <c r="C3" i="3"/>
  <c r="D7" i="20" l="1"/>
  <c r="J7" i="23" s="1"/>
  <c r="F8" i="6"/>
  <c r="F8" i="23" s="1"/>
  <c r="E13" i="6"/>
  <c r="E13" i="23" s="1"/>
  <c r="F12" i="6"/>
  <c r="F12" i="23" s="1"/>
  <c r="E17" i="6"/>
  <c r="E17" i="23" s="1"/>
  <c r="D13" i="6"/>
  <c r="D13" i="23" s="1"/>
  <c r="G8" i="6"/>
  <c r="G8" i="23" s="1"/>
  <c r="H17" i="6"/>
  <c r="H17" i="23" s="1"/>
  <c r="H13" i="6"/>
  <c r="H13" i="23" s="1"/>
  <c r="D8" i="6"/>
  <c r="D8" i="23" s="1"/>
  <c r="D16" i="15"/>
  <c r="I16" i="23" s="1"/>
  <c r="H9" i="6"/>
  <c r="H9" i="23" s="1"/>
  <c r="D10" i="6"/>
  <c r="D10" i="23" s="1"/>
  <c r="F20" i="6"/>
  <c r="F20" i="23" s="1"/>
  <c r="D4" i="20"/>
  <c r="J4" i="23" s="1"/>
  <c r="G7" i="6"/>
  <c r="G7" i="23" s="1"/>
  <c r="F13" i="6"/>
  <c r="F13" i="23" s="1"/>
  <c r="D17" i="15"/>
  <c r="I17" i="23" s="1"/>
  <c r="D12" i="15"/>
  <c r="I12" i="23" s="1"/>
  <c r="D4" i="15"/>
  <c r="I4" i="23" s="1"/>
  <c r="D12" i="6"/>
  <c r="D12" i="23" s="1"/>
  <c r="D13" i="20"/>
  <c r="J13" i="23" s="1"/>
  <c r="E12" i="6"/>
  <c r="E12" i="23" s="1"/>
  <c r="E8" i="6"/>
  <c r="E8" i="23" s="1"/>
  <c r="E14" i="6"/>
  <c r="E14" i="23" s="1"/>
  <c r="H10" i="6"/>
  <c r="H10" i="23" s="1"/>
  <c r="F14" i="6"/>
  <c r="F14" i="23" s="1"/>
  <c r="D8" i="15"/>
  <c r="I8" i="23" s="1"/>
  <c r="D13" i="15"/>
  <c r="I13" i="23" s="1"/>
  <c r="D5" i="15"/>
  <c r="I5" i="23" s="1"/>
  <c r="D14" i="20"/>
  <c r="J14" i="23" s="1"/>
  <c r="F17" i="6"/>
  <c r="F17" i="23" s="1"/>
  <c r="H8" i="6"/>
  <c r="H8" i="23" s="1"/>
  <c r="H14" i="6"/>
  <c r="H14" i="23" s="1"/>
  <c r="H15" i="6"/>
  <c r="H15" i="23" s="1"/>
  <c r="D19" i="6"/>
  <c r="D19" i="23" s="1"/>
  <c r="E6" i="6"/>
  <c r="E6" i="23" s="1"/>
  <c r="H7" i="6"/>
  <c r="H7" i="23" s="1"/>
  <c r="D9" i="15"/>
  <c r="I9" i="23" s="1"/>
  <c r="D6" i="6"/>
  <c r="D6" i="23" s="1"/>
  <c r="D15" i="15"/>
  <c r="D9" i="20"/>
  <c r="J9" i="23" s="1"/>
  <c r="D16" i="6"/>
  <c r="D16" i="23" s="1"/>
  <c r="E3" i="6"/>
  <c r="E3" i="23" s="1"/>
  <c r="H20" i="6"/>
  <c r="H20" i="23" s="1"/>
  <c r="D17" i="20"/>
  <c r="J17" i="23" s="1"/>
  <c r="E16" i="6"/>
  <c r="E16" i="23" s="1"/>
  <c r="F4" i="6"/>
  <c r="F4" i="23" s="1"/>
  <c r="D5" i="6"/>
  <c r="D5" i="23" s="1"/>
  <c r="F3" i="6"/>
  <c r="F3" i="23" s="1"/>
  <c r="D9" i="6"/>
  <c r="D9" i="23" s="1"/>
  <c r="D14" i="6"/>
  <c r="D14" i="23" s="1"/>
  <c r="F19" i="6"/>
  <c r="F19" i="23" s="1"/>
  <c r="D15" i="6"/>
  <c r="D15" i="23" s="1"/>
  <c r="G6" i="6"/>
  <c r="G6" i="23" s="1"/>
  <c r="E10" i="6"/>
  <c r="E10" i="23" s="1"/>
  <c r="D19" i="15"/>
  <c r="I19" i="23" s="1"/>
  <c r="G9" i="6"/>
  <c r="G9" i="23" s="1"/>
  <c r="E15" i="6"/>
  <c r="H3" i="6"/>
  <c r="H3" i="23" s="1"/>
  <c r="F11" i="6"/>
  <c r="F11" i="23" s="1"/>
  <c r="D12" i="20"/>
  <c r="J12" i="23" s="1"/>
  <c r="F15" i="6"/>
  <c r="F15" i="23" s="1"/>
  <c r="G5" i="6"/>
  <c r="G5" i="23" s="1"/>
  <c r="D7" i="6"/>
  <c r="D7" i="23" s="1"/>
  <c r="D6" i="15"/>
  <c r="I6" i="23" s="1"/>
  <c r="D5" i="20"/>
  <c r="J5" i="23" s="1"/>
  <c r="G14" i="6"/>
  <c r="G14" i="23" s="1"/>
  <c r="G17" i="6"/>
  <c r="G17" i="23" s="1"/>
  <c r="E5" i="6"/>
  <c r="E5" i="23" s="1"/>
  <c r="H5" i="6"/>
  <c r="H5" i="23" s="1"/>
  <c r="E7" i="6"/>
  <c r="E7" i="23" s="1"/>
  <c r="G12" i="6"/>
  <c r="G12" i="23" s="1"/>
  <c r="D3" i="6"/>
  <c r="D3" i="23" s="1"/>
  <c r="D14" i="15"/>
  <c r="I14" i="23" s="1"/>
  <c r="D7" i="15"/>
  <c r="I7" i="23" s="1"/>
  <c r="G13" i="6"/>
  <c r="G13" i="23" s="1"/>
  <c r="H12" i="6"/>
  <c r="H12" i="23" s="1"/>
  <c r="F5" i="6"/>
  <c r="F5" i="23" s="1"/>
  <c r="F7" i="6"/>
  <c r="F7" i="23" s="1"/>
  <c r="H4" i="6"/>
  <c r="H4" i="23" s="1"/>
  <c r="D10" i="15"/>
  <c r="I10" i="23" s="1"/>
  <c r="D8" i="20"/>
  <c r="J8" i="23" s="1"/>
  <c r="G3" i="6"/>
  <c r="G3" i="23" s="1"/>
  <c r="H6" i="6"/>
  <c r="H6" i="23" s="1"/>
  <c r="F16" i="6"/>
  <c r="F16" i="23" s="1"/>
  <c r="G19" i="6"/>
  <c r="G19" i="23" s="1"/>
  <c r="D3" i="15"/>
  <c r="I3" i="23" s="1"/>
  <c r="D10" i="20"/>
  <c r="J10" i="23" s="1"/>
  <c r="G15" i="6"/>
  <c r="D11" i="20"/>
  <c r="J11" i="23" s="1"/>
  <c r="G16" i="6"/>
  <c r="G16" i="23" s="1"/>
  <c r="H19" i="6"/>
  <c r="H19" i="23" s="1"/>
  <c r="D4" i="6"/>
  <c r="D4" i="23" s="1"/>
  <c r="F10" i="6"/>
  <c r="F10" i="23" s="1"/>
  <c r="H16" i="6"/>
  <c r="H16" i="23" s="1"/>
  <c r="D20" i="6"/>
  <c r="D20" i="23" s="1"/>
  <c r="E9" i="6"/>
  <c r="E9" i="23" s="1"/>
  <c r="D20" i="15"/>
  <c r="I20" i="23" s="1"/>
  <c r="E4" i="6"/>
  <c r="E4" i="23" s="1"/>
  <c r="G10" i="6"/>
  <c r="G10" i="23" s="1"/>
  <c r="D17" i="6"/>
  <c r="D17" i="23" s="1"/>
  <c r="E20" i="6"/>
  <c r="E20" i="23" s="1"/>
  <c r="G4" i="6"/>
  <c r="G4" i="23" s="1"/>
  <c r="D11" i="6"/>
  <c r="D11" i="23" s="1"/>
  <c r="G20" i="6"/>
  <c r="G20" i="23" s="1"/>
  <c r="D15" i="20"/>
  <c r="E11" i="6"/>
  <c r="E11" i="23" s="1"/>
  <c r="D16" i="20"/>
  <c r="J16" i="23" s="1"/>
  <c r="G11" i="6"/>
  <c r="G11" i="23" s="1"/>
  <c r="D11" i="15"/>
  <c r="I11" i="23" s="1"/>
  <c r="H11" i="6"/>
  <c r="H11" i="23" s="1"/>
  <c r="D3" i="20"/>
  <c r="J3" i="23" s="1"/>
  <c r="D19" i="20"/>
  <c r="J19" i="23" s="1"/>
  <c r="D20" i="20"/>
  <c r="J20" i="23" s="1"/>
  <c r="D6" i="20"/>
  <c r="J6" i="23" s="1"/>
  <c r="F6" i="6"/>
  <c r="F6" i="23" s="1"/>
  <c r="E19" i="6"/>
  <c r="E19" i="23" s="1"/>
  <c r="F9" i="6"/>
  <c r="F9" i="23" s="1"/>
  <c r="H18" i="6" l="1"/>
  <c r="H18" i="23" s="1"/>
  <c r="E18" i="6"/>
  <c r="E18" i="23" s="1"/>
  <c r="D18" i="15"/>
  <c r="I18" i="23" s="1"/>
  <c r="I15" i="23"/>
  <c r="E15" i="23"/>
  <c r="G18" i="6"/>
  <c r="G18" i="23" s="1"/>
  <c r="G15" i="23"/>
  <c r="J15" i="23"/>
  <c r="D18" i="20"/>
  <c r="J18" i="23" s="1"/>
  <c r="F18" i="6"/>
  <c r="F18" i="23" s="1"/>
  <c r="D18" i="6"/>
  <c r="D18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E5" authorId="0" shapeId="0" xr:uid="{483233D5-E7FE-4267-A6D0-43F38EF86D83}">
      <text>
        <r>
          <rPr>
            <b/>
            <sz val="9"/>
            <color indexed="81"/>
            <rFont val="宋体"/>
            <family val="3"/>
            <charset val="134"/>
          </rPr>
          <t>雪球登录凭证,用于港股和部分中概美股备用数据源。
如果港股或中概美股取数失败,请重新登录雪球后复制新的 xq_a_token。</t>
        </r>
      </text>
    </comment>
    <comment ref="N12" authorId="0" shapeId="0" xr:uid="{7AE6452A-D7AF-4E92-95C3-22C769AB0A0A}">
      <text>
        <r>
          <rPr>
            <b/>
            <sz val="9"/>
            <color indexed="81"/>
            <rFont val="宋体"/>
            <family val="3"/>
            <charset val="134"/>
          </rPr>
          <t>删除 .cache/ 目录中的 24h 本地 HTTP 响应缓存。
下次抓数会重新发起 HTTP 请求,用于强制刷新或排查数据陈旧问题。
日常无需点击。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130B256C-DC08-48A6-BD7A-B16F03EDD4D6}">
      <text>
        <r>
          <rPr>
            <sz val="9"/>
            <color indexed="81"/>
            <rFont val="宋体"/>
            <family val="3"/>
            <charset val="134"/>
          </rPr>
          <t>跨市场指标合表 (公司数=7)_x000D_
数据源: 4 张分市场指标表 (引用公式, 自动同步)_x000D_
当前显示模式: 原币_x000D_
切换 E6 后请先重跑各市场, 再点 '合并跨市场指标表'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EF6841F5-7431-4298-942F-007C6492CD79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5B8F0DC6-BD34-4950-8A3C-2401C133EC2A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0DF51009-BDBB-4DE1-A6AD-0AE401B62506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7A259E1B-1F69-470A-8748-171D5E662284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B8A800F6-FBDD-41E5-9006-93C5B9406416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5524F334-AEF4-4BE6-B397-82173677C662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42FC8F36-3FBE-40E5-A7C2-09DD15507449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E0414639-2468-4894-A4B4-4A4B351D9EA4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C99BD936-63E0-4206-90D8-E0C172EFAC5E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319BDC63-1331-4150-94B2-FE9BF50E580F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B42F158B-7DAA-49B9-864A-0E5D2FE336B6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79A3F75F-B409-45E3-AD93-5C2CDF98744E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sharedStrings.xml><?xml version="1.0" encoding="utf-8"?>
<sst xmlns="http://schemas.openxmlformats.org/spreadsheetml/2006/main" count="2198" uniqueCount="690">
  <si>
    <t>一键全抓 4 市场</t>
  </si>
  <si>
    <t>雪球 Cookie</t>
  </si>
  <si>
    <t>显示币种</t>
  </si>
  <si>
    <t>原币</t>
  </si>
  <si>
    <t>美股(EDGAR+雪球)</t>
  </si>
  <si>
    <t>港股(雪球 HK)</t>
  </si>
  <si>
    <t>韩股(stockanalysis)</t>
  </si>
  <si>
    <t>一键 A 股</t>
  </si>
  <si>
    <t>一键 美股</t>
  </si>
  <si>
    <t>一键 港股</t>
  </si>
  <si>
    <t>一键 韩股</t>
  </si>
  <si>
    <t>代码</t>
  </si>
  <si>
    <t>简称</t>
  </si>
  <si>
    <t>300866</t>
  </si>
  <si>
    <t>指标名称</t>
  </si>
  <si>
    <t>指标类型</t>
  </si>
  <si>
    <t>英文指标名</t>
  </si>
  <si>
    <t>2024-12-31</t>
  </si>
  <si>
    <t>2023-12-31</t>
  </si>
  <si>
    <t>美股抓取诊断 (每次跑数后自动刷新)</t>
    <phoneticPr fontId="7" type="noConversion"/>
  </si>
  <si>
    <t>公司</t>
    <phoneticPr fontId="7" type="noConversion"/>
  </si>
  <si>
    <t>报表</t>
    <phoneticPr fontId="7" type="noConversion"/>
  </si>
  <si>
    <t>输出指标</t>
    <phoneticPr fontId="7" type="noConversion"/>
  </si>
  <si>
    <t>状态</t>
    <phoneticPr fontId="7" type="noConversion"/>
  </si>
  <si>
    <t>数据源</t>
    <phoneticPr fontId="7" type="noConversion"/>
  </si>
  <si>
    <t>Taxonomy</t>
    <phoneticPr fontId="7" type="noConversion"/>
  </si>
  <si>
    <t>命中字段</t>
    <phoneticPr fontId="7" type="noConversion"/>
  </si>
  <si>
    <t>Unit</t>
    <phoneticPr fontId="7" type="noConversion"/>
  </si>
  <si>
    <t>Score</t>
    <phoneticPr fontId="7" type="noConversion"/>
  </si>
  <si>
    <t>匹配方式+备注</t>
    <phoneticPr fontId="7" type="noConversion"/>
  </si>
  <si>
    <t>港股抓取诊断 (每次跑数后自动刷新)</t>
    <phoneticPr fontId="7" type="noConversion"/>
  </si>
  <si>
    <t>韩股抓取诊断 (每次跑数后自动刷新)</t>
    <phoneticPr fontId="7" type="noConversion"/>
  </si>
  <si>
    <t>FX_Rate</t>
    <phoneticPr fontId="7" type="noConversion"/>
  </si>
  <si>
    <t>Current Assets</t>
  </si>
  <si>
    <t>Cash &amp; equivalents</t>
  </si>
  <si>
    <t>Accounts receivable, net</t>
  </si>
  <si>
    <t>Inventory</t>
  </si>
  <si>
    <t>Total current assets</t>
  </si>
  <si>
    <t>Non-Current Assets</t>
  </si>
  <si>
    <t>Property, plant &amp; equipment, net</t>
  </si>
  <si>
    <t>Total non-current assets</t>
  </si>
  <si>
    <t>Total assets</t>
  </si>
  <si>
    <t>Current Liabilities</t>
  </si>
  <si>
    <t>Accounts payable</t>
  </si>
  <si>
    <t>Short-term debt</t>
  </si>
  <si>
    <t>Total current liabilities</t>
  </si>
  <si>
    <t>Non-Current Liabilities</t>
  </si>
  <si>
    <t>Long-term debt</t>
  </si>
  <si>
    <t>Total non-current liabilities</t>
  </si>
  <si>
    <t>Total liabilities</t>
  </si>
  <si>
    <t>Total stockholders' equity</t>
  </si>
  <si>
    <t>Total liabilities &amp; equity</t>
  </si>
  <si>
    <t>BalanceSheet</t>
  </si>
  <si>
    <t>MISSING</t>
  </si>
  <si>
    <t>Assets</t>
  </si>
  <si>
    <t>Liabilities</t>
  </si>
  <si>
    <t>Revenue</t>
  </si>
  <si>
    <t>Cost of goods &amp; services sold</t>
  </si>
  <si>
    <t>Gross profit</t>
  </si>
  <si>
    <t>Operating Expenses</t>
  </si>
  <si>
    <t>R&amp;D expense</t>
  </si>
  <si>
    <t>SG&amp;A expense</t>
  </si>
  <si>
    <t>Total operating expenses</t>
  </si>
  <si>
    <t>Operating income</t>
  </si>
  <si>
    <t>Pre-tax income</t>
  </si>
  <si>
    <t>Income tax expense</t>
  </si>
  <si>
    <t>Net income</t>
  </si>
  <si>
    <t>Income</t>
  </si>
  <si>
    <t>Interest expense</t>
  </si>
  <si>
    <t>Depreciation &amp; amortization</t>
  </si>
  <si>
    <t>Change in inventory</t>
  </si>
  <si>
    <t>Cash from operations</t>
  </si>
  <si>
    <t>Capex</t>
  </si>
  <si>
    <t>Cash from investing</t>
  </si>
  <si>
    <t>Dividends paid</t>
  </si>
  <si>
    <t>Cash from financing</t>
  </si>
  <si>
    <t>Cash at end of period</t>
  </si>
  <si>
    <t>CashFlow</t>
  </si>
  <si>
    <t>—</t>
  </si>
  <si>
    <t>FX effect on cash</t>
  </si>
  <si>
    <t>Cash at beginning of period</t>
  </si>
  <si>
    <t>盈利性指标</t>
  </si>
  <si>
    <t>销售净利率</t>
  </si>
  <si>
    <t>Net Profit Margin</t>
  </si>
  <si>
    <t>毛利率</t>
  </si>
  <si>
    <t>Gross Profit Margin</t>
  </si>
  <si>
    <t>期间费用率</t>
  </si>
  <si>
    <t>Operating Expense Ratio</t>
  </si>
  <si>
    <t>总资产回报率 (ROA)</t>
  </si>
  <si>
    <t>Return on Assets (ROA)</t>
  </si>
  <si>
    <t>股东权益回报率 (ROE)</t>
  </si>
  <si>
    <t>Return on Equity (ROE)</t>
  </si>
  <si>
    <t>成长性指标</t>
  </si>
  <si>
    <t>总资产增长率</t>
  </si>
  <si>
    <t>Total Assets Growth Rate</t>
  </si>
  <si>
    <t>主营业务收入增长率</t>
  </si>
  <si>
    <t>Revenue Growth Rate</t>
  </si>
  <si>
    <t>净利润增长率</t>
  </si>
  <si>
    <t>Net Profit Growth Rate</t>
  </si>
  <si>
    <t>偿债能力指标</t>
  </si>
  <si>
    <t>流动比率</t>
  </si>
  <si>
    <t>Current Ratio</t>
  </si>
  <si>
    <t>速动比率</t>
  </si>
  <si>
    <t>Quick Ratio</t>
  </si>
  <si>
    <t>现金比率</t>
  </si>
  <si>
    <t>Cash Ratio</t>
  </si>
  <si>
    <t>资产负债率</t>
  </si>
  <si>
    <t>Debt-to-Asset Ratio</t>
  </si>
  <si>
    <t>运营能力指标</t>
  </si>
  <si>
    <t>存货周转天数</t>
  </si>
  <si>
    <t>Days Inventory Outstanding (DIO)</t>
  </si>
  <si>
    <t>应收款周转天数</t>
  </si>
  <si>
    <t>Days Sales Outstanding (DSO)</t>
  </si>
  <si>
    <t>应付账款周转天数</t>
  </si>
  <si>
    <t>Days Payable Outstanding (DPO)</t>
  </si>
  <si>
    <t>营运资金周转天数</t>
  </si>
  <si>
    <t>Cash Conversion Cycle (CCC)</t>
  </si>
  <si>
    <t>流动资产周转率</t>
  </si>
  <si>
    <t>Current Asset Turnover</t>
  </si>
  <si>
    <t>总资产周转率</t>
  </si>
  <si>
    <t>Total Asset Turnover</t>
  </si>
  <si>
    <t>Investments</t>
  </si>
  <si>
    <t>Minority interests</t>
  </si>
  <si>
    <t>Total equity</t>
  </si>
  <si>
    <t>Selling expense</t>
  </si>
  <si>
    <t>Administrative expense</t>
  </si>
  <si>
    <t>Basic EPS</t>
  </si>
  <si>
    <t>Diluted EPS</t>
  </si>
  <si>
    <t>Interest paid</t>
  </si>
  <si>
    <t>Interest received</t>
  </si>
  <si>
    <t>Equity</t>
  </si>
  <si>
    <t>Liabilities &amp; Equity</t>
  </si>
  <si>
    <t>Profitability</t>
  </si>
  <si>
    <t>Non Operating</t>
  </si>
  <si>
    <t>Tax</t>
  </si>
  <si>
    <t>EPS</t>
  </si>
  <si>
    <t>Operating Activities</t>
  </si>
  <si>
    <t>Change in accounts receivable</t>
  </si>
  <si>
    <t>Change in accounts payable</t>
  </si>
  <si>
    <t>Investing Activities</t>
  </si>
  <si>
    <t>Financing Activities</t>
  </si>
  <si>
    <t>Cash</t>
  </si>
  <si>
    <t>Net cash flow</t>
  </si>
  <si>
    <t>Free cash flow</t>
  </si>
  <si>
    <t>安克创新(300866)</t>
  </si>
  <si>
    <t>安克创新(300866) 利润表_x000D_
单位：万元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</si>
  <si>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</si>
  <si>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</si>
  <si>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</si>
  <si>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</si>
  <si>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</si>
  <si>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</si>
  <si>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</si>
  <si>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</si>
  <si>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研发费用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</si>
  <si>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</si>
  <si>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</si>
  <si>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</si>
  <si>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</si>
  <si>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</si>
  <si>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</si>
  <si>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</si>
  <si>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</si>
  <si>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</si>
  <si>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</si>
  <si>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</si>
  <si>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</si>
  <si>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</si>
  <si>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</si>
  <si>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</si>
  <si>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</si>
  <si>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</si>
  <si>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</si>
  <si>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</si>
  <si>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</si>
  <si>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</si>
  <si>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</si>
  <si>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</si>
  <si>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</si>
  <si>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</si>
  <si>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</si>
  <si>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</si>
  <si>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</si>
  <si>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</si>
  <si>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</si>
  <si>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</si>
  <si>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</si>
  <si>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</si>
  <si>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</si>
  <si>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</si>
  <si>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</si>
  <si>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</si>
  <si>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</si>
  <si>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</si>
  <si>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</si>
  <si>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</si>
  <si>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</si>
  <si>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</si>
  <si>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</si>
  <si>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</si>
  <si>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</si>
  <si>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</si>
  <si>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</si>
  <si>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</si>
  <si>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</si>
  <si>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</si>
  <si>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</si>
  <si>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</si>
  <si>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分配股利、利润或偿付利息所支付的现金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</si>
  <si>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</si>
  <si>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</si>
  <si>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</si>
  <si>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</si>
  <si>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</si>
  <si>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</si>
  <si>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</si>
  <si>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</si>
  <si>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</si>
  <si>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</si>
  <si>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少数股东权益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</si>
  <si>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</si>
  <si>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</si>
  <si>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</si>
  <si>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</si>
  <si>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</si>
  <si>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</si>
  <si>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</si>
  <si>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</si>
  <si>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</si>
  <si>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</si>
  <si>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</si>
  <si>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</si>
  <si>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</si>
  <si>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</si>
  <si>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</si>
  <si>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</si>
  <si>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</si>
  <si>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</si>
  <si>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</si>
  <si>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</si>
  <si>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</si>
  <si>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</si>
  <si>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</si>
  <si>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</si>
  <si>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</si>
  <si>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</si>
  <si>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</si>
  <si>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</si>
  <si>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</si>
  <si>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</si>
  <si>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>流动资产</t>
  </si>
  <si>
    <t>货币资金</t>
  </si>
  <si>
    <t>交易性金融资产</t>
  </si>
  <si>
    <t>衍生金融资产</t>
  </si>
  <si>
    <t>应收票据及应收账款</t>
  </si>
  <si>
    <t>应收票据</t>
  </si>
  <si>
    <t>应收账款</t>
  </si>
  <si>
    <t>应收款项融资</t>
  </si>
  <si>
    <t>预付款项</t>
  </si>
  <si>
    <t>其他应收款(合计)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</si>
  <si>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</si>
  <si>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</si>
  <si>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</si>
  <si>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</si>
  <si>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</si>
  <si>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</si>
  <si>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</si>
  <si>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</si>
  <si>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</si>
  <si>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</si>
  <si>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</si>
  <si>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</si>
  <si>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</si>
  <si>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</si>
  <si>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</si>
  <si>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</si>
  <si>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</si>
  <si>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</si>
  <si>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在建工程(合计)</t>
  </si>
  <si>
    <t>在建工程</t>
  </si>
  <si>
    <t>工程物资</t>
  </si>
  <si>
    <t>固定资产及清理(合计)</t>
  </si>
  <si>
    <t>固定资产净额</t>
  </si>
  <si>
    <t>固定资产清理</t>
  </si>
  <si>
    <t>生产性生物资产</t>
  </si>
  <si>
    <t>公益性生物资产</t>
  </si>
  <si>
    <t>油气资产</t>
  </si>
  <si>
    <t>使用权资产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</si>
  <si>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</si>
  <si>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</si>
  <si>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</si>
  <si>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</si>
  <si>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</si>
  <si>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</si>
  <si>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</si>
  <si>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</si>
  <si>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</si>
  <si>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</si>
  <si>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</si>
  <si>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应付票据及应付账款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</si>
  <si>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</si>
  <si>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</si>
  <si>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</si>
  <si>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</si>
  <si>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</si>
  <si>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</si>
  <si>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其他应付款(合计)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</si>
  <si>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</si>
  <si>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</si>
  <si>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</si>
  <si>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</si>
  <si>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</si>
  <si>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</si>
  <si>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</si>
  <si>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</si>
  <si>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</si>
  <si>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</si>
  <si>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</si>
  <si>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</si>
  <si>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租赁负债</t>
  </si>
  <si>
    <t>长期应付职工薪酬</t>
  </si>
  <si>
    <t>长期应付款(合计)</t>
  </si>
  <si>
    <t>长期应付款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</si>
  <si>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</si>
  <si>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</si>
  <si>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</si>
  <si>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</si>
  <si>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</si>
  <si>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</si>
  <si>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</si>
  <si>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</si>
  <si>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</si>
  <si>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</si>
  <si>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</si>
  <si>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</si>
  <si>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</si>
  <si>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</si>
  <si>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</si>
  <si>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</si>
  <si>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</si>
  <si>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所有者权益(或股东权益)合计</t>
  </si>
  <si>
    <t>负债和所有者权益(或股东权益)总计</t>
  </si>
  <si>
    <t>OK_XUEQIU</t>
  </si>
  <si>
    <t>Xueqiu</t>
  </si>
  <si>
    <t>xueqiu_hk</t>
  </si>
  <si>
    <t>cceq</t>
  </si>
  <si>
    <t>RMB</t>
  </si>
  <si>
    <t>trx</t>
  </si>
  <si>
    <t>inv</t>
  </si>
  <si>
    <t>ca</t>
  </si>
  <si>
    <t>fxda</t>
  </si>
  <si>
    <t>iv</t>
  </si>
  <si>
    <t>tnca</t>
  </si>
  <si>
    <t>ta</t>
  </si>
  <si>
    <t>trpy</t>
  </si>
  <si>
    <t>stdt</t>
  </si>
  <si>
    <t>clia</t>
  </si>
  <si>
    <t>ltdt</t>
  </si>
  <si>
    <t>tnclia</t>
  </si>
  <si>
    <t>tlia</t>
  </si>
  <si>
    <t>miint</t>
  </si>
  <si>
    <t>teqy</t>
  </si>
  <si>
    <t>tto</t>
  </si>
  <si>
    <t>fcgcost</t>
  </si>
  <si>
    <t>gp</t>
  </si>
  <si>
    <t>slgdstexp</t>
  </si>
  <si>
    <t>admexp</t>
  </si>
  <si>
    <t>topeexp</t>
  </si>
  <si>
    <t>opeplo</t>
  </si>
  <si>
    <t>plobtx</t>
  </si>
  <si>
    <t>tx</t>
  </si>
  <si>
    <t>ploashh</t>
  </si>
  <si>
    <t>beps_aju</t>
  </si>
  <si>
    <t>deps_aju</t>
  </si>
  <si>
    <t>nocf</t>
  </si>
  <si>
    <t>depaz</t>
  </si>
  <si>
    <t>ninvcf</t>
  </si>
  <si>
    <t>fxdiodtinstr</t>
  </si>
  <si>
    <t>hk_field_primary; periods_written=1</t>
  </si>
  <si>
    <t>nfcgcf</t>
  </si>
  <si>
    <t>divp</t>
  </si>
  <si>
    <t>intp</t>
  </si>
  <si>
    <t>intrc</t>
  </si>
  <si>
    <t>ncfdchexrateot</t>
  </si>
  <si>
    <t>cceqbegyr</t>
  </si>
  <si>
    <t>cceqeyr</t>
  </si>
  <si>
    <t>4d896a9527611bee23b9363c901d8fad9e51973f</t>
  </si>
  <si>
    <t>OK_STOCKANALYSIS</t>
  </si>
  <si>
    <t>stockanalysis.com</t>
  </si>
  <si>
    <t>HTML</t>
  </si>
  <si>
    <t>Cash &amp; Equivalents</t>
  </si>
  <si>
    <t>KRW billions</t>
  </si>
  <si>
    <t>exact field match via htmlfile DOM</t>
  </si>
  <si>
    <t>Accounts Receivable</t>
  </si>
  <si>
    <t>Total Current Assets</t>
  </si>
  <si>
    <t>Property, Plant &amp; Equipment</t>
  </si>
  <si>
    <t>Long-Term Investments</t>
  </si>
  <si>
    <t>stockanalysis table did not contain mapped field</t>
  </si>
  <si>
    <t>Total Assets</t>
  </si>
  <si>
    <t>Accounts Payable</t>
  </si>
  <si>
    <t>Short-Term Debt</t>
  </si>
  <si>
    <t>Total Current Liabilities</t>
  </si>
  <si>
    <t>Long-Term Debt</t>
  </si>
  <si>
    <t>Total Liabilities</t>
  </si>
  <si>
    <t>Shareholders' Equity</t>
  </si>
  <si>
    <t>Total Liabilities &amp; Equity</t>
  </si>
  <si>
    <t>Cost of Revenue</t>
  </si>
  <si>
    <t>Gross Profit</t>
  </si>
  <si>
    <t>Research &amp; Development</t>
  </si>
  <si>
    <t>Selling, General &amp; Admin</t>
  </si>
  <si>
    <t>Operating Income</t>
  </si>
  <si>
    <t>Interest Expense</t>
  </si>
  <si>
    <t>Pretax Income</t>
  </si>
  <si>
    <t>Income Tax Expense</t>
  </si>
  <si>
    <t>Net Income</t>
  </si>
  <si>
    <t>EPS (Basic)</t>
  </si>
  <si>
    <t>KRW/share</t>
  </si>
  <si>
    <t>EPS (Diluted)</t>
  </si>
  <si>
    <t>Depreciation &amp; Amortization</t>
  </si>
  <si>
    <t>Change in Accounts Receivable</t>
  </si>
  <si>
    <t>Change in Inventory</t>
  </si>
  <si>
    <t>Change in Accounts Payable</t>
  </si>
  <si>
    <t>Operating Cash Flow</t>
  </si>
  <si>
    <t>Capital Expenditures</t>
  </si>
  <si>
    <t>Investing Cash Flow</t>
  </si>
  <si>
    <t>Financing Cash Flow</t>
  </si>
  <si>
    <t>Foreign Exchange Rate Adjustments</t>
  </si>
  <si>
    <t>Net Cash Flow</t>
  </si>
  <si>
    <t>Free Cash Flow</t>
  </si>
  <si>
    <t>安克创新(300866) [A]</t>
  </si>
  <si>
    <t>工具</t>
  </si>
  <si>
    <t>§ 1</t>
  </si>
  <si>
    <t>§ 2</t>
  </si>
  <si>
    <t>§ 3</t>
  </si>
  <si>
    <t>§ 4</t>
  </si>
  <si>
    <t>§ 5</t>
  </si>
  <si>
    <t>§ 6</t>
  </si>
  <si>
    <t>§ 7</t>
  </si>
  <si>
    <t>版本历史</t>
  </si>
  <si>
    <t>市场</t>
  </si>
  <si>
    <t>美股</t>
  </si>
  <si>
    <t>港股</t>
  </si>
  <si>
    <t>韩股</t>
  </si>
  <si>
    <t>步骤</t>
  </si>
  <si>
    <t>用途</t>
  </si>
  <si>
    <t>跨市场_指标表</t>
  </si>
  <si>
    <t>说明</t>
  </si>
  <si>
    <t>汇率</t>
  </si>
  <si>
    <t>规则</t>
  </si>
  <si>
    <t>问题</t>
  </si>
  <si>
    <t>版本</t>
  </si>
  <si>
    <t>日期</t>
  </si>
  <si>
    <t>主线交付</t>
  </si>
  <si>
    <t>清空 HTTP 缓存</t>
  </si>
  <si>
    <t>USDCNY</t>
  </si>
  <si>
    <t>HKDCNY</t>
  </si>
  <si>
    <t>KRWCNY</t>
  </si>
  <si>
    <r>
      <rPr>
        <sz val="9"/>
        <color rgb="FF404040"/>
        <rFont val="微软雅黑"/>
        <family val="2"/>
        <charset val="134"/>
      </rPr>
      <t>雪球</t>
    </r>
    <r>
      <rPr>
        <sz val="9"/>
        <color rgb="FF404040"/>
        <rFont val="arial"/>
        <family val="2"/>
      </rPr>
      <t xml:space="preserve"> K </t>
    </r>
    <r>
      <rPr>
        <sz val="9"/>
        <color rgb="FF404040"/>
        <rFont val="微软雅黑"/>
        <family val="2"/>
        <charset val="134"/>
      </rPr>
      <t>线接口</t>
    </r>
    <r>
      <rPr>
        <sz val="9"/>
        <color rgb="FF404040"/>
        <rFont val="arial"/>
        <family val="2"/>
      </rPr>
      <t xml:space="preserve"> USDCNYC,</t>
    </r>
    <r>
      <rPr>
        <sz val="9"/>
        <color rgb="FF404040"/>
        <rFont val="微软雅黑"/>
        <family val="2"/>
        <charset val="134"/>
      </rPr>
      <t>单线程顺序请求</t>
    </r>
    <r>
      <rPr>
        <sz val="9"/>
        <color rgb="FF404040"/>
        <rFont val="arial"/>
        <family val="2"/>
      </rPr>
      <t xml:space="preserve"> + 1s </t>
    </r>
    <r>
      <rPr>
        <sz val="9"/>
        <color rgb="FF404040"/>
        <rFont val="微软雅黑"/>
        <family val="2"/>
        <charset val="134"/>
      </rPr>
      <t>间隔</t>
    </r>
  </si>
  <si>
    <r>
      <rPr>
        <sz val="9"/>
        <color rgb="FF404040"/>
        <rFont val="微软雅黑"/>
        <family val="2"/>
        <charset val="134"/>
      </rPr>
      <t>雪球</t>
    </r>
    <r>
      <rPr>
        <sz val="9"/>
        <color rgb="FF404040"/>
        <rFont val="arial"/>
        <family val="2"/>
      </rPr>
      <t xml:space="preserve"> K </t>
    </r>
    <r>
      <rPr>
        <sz val="9"/>
        <color rgb="FF404040"/>
        <rFont val="微软雅黑"/>
        <family val="2"/>
        <charset val="134"/>
      </rPr>
      <t>线接口</t>
    </r>
    <r>
      <rPr>
        <sz val="9"/>
        <color rgb="FF404040"/>
        <rFont val="arial"/>
        <family val="2"/>
      </rPr>
      <t xml:space="preserve"> HKDCNYC,</t>
    </r>
    <r>
      <rPr>
        <sz val="9"/>
        <color rgb="FF404040"/>
        <rFont val="微软雅黑"/>
        <family val="2"/>
        <charset val="134"/>
      </rPr>
      <t>同上</t>
    </r>
  </si>
  <si>
    <r>
      <rPr>
        <sz val="9"/>
        <color rgb="FF404040"/>
        <rFont val="微软雅黑"/>
        <family val="2"/>
        <charset val="134"/>
      </rPr>
      <t>雪球</t>
    </r>
    <r>
      <rPr>
        <sz val="9"/>
        <color rgb="FF404040"/>
        <rFont val="arial"/>
        <family val="2"/>
      </rPr>
      <t xml:space="preserve"> K </t>
    </r>
    <r>
      <rPr>
        <sz val="9"/>
        <color rgb="FF404040"/>
        <rFont val="微软雅黑"/>
        <family val="2"/>
        <charset val="134"/>
      </rPr>
      <t>线接口</t>
    </r>
    <r>
      <rPr>
        <sz val="9"/>
        <color rgb="FF404040"/>
        <rFont val="arial"/>
        <family val="2"/>
      </rPr>
      <t xml:space="preserve"> KRWCNYC,</t>
    </r>
    <r>
      <rPr>
        <sz val="9"/>
        <color rgb="FF404040"/>
        <rFont val="微软雅黑"/>
        <family val="2"/>
        <charset val="134"/>
      </rPr>
      <t>同上</t>
    </r>
  </si>
  <si>
    <r>
      <t xml:space="preserve">USDCNY </t>
    </r>
    <r>
      <rPr>
        <b/>
        <sz val="9"/>
        <color rgb="FF1F3864"/>
        <rFont val="微软雅黑"/>
        <family val="2"/>
        <charset val="134"/>
      </rPr>
      <t>期末</t>
    </r>
  </si>
  <si>
    <r>
      <rPr>
        <sz val="9"/>
        <color rgb="FF404040"/>
        <rFont val="微软雅黑"/>
        <family val="2"/>
        <charset val="134"/>
      </rPr>
      <t>报告期最后一天的</t>
    </r>
    <r>
      <rPr>
        <sz val="9"/>
        <color rgb="FF404040"/>
        <rFont val="arial"/>
        <family val="2"/>
      </rPr>
      <t xml:space="preserve"> close </t>
    </r>
    <r>
      <rPr>
        <sz val="9"/>
        <color rgb="FF404040"/>
        <rFont val="微软雅黑"/>
        <family val="2"/>
        <charset val="134"/>
      </rPr>
      <t>价。资产负债表使用</t>
    </r>
    <r>
      <rPr>
        <sz val="9"/>
        <color rgb="FF404040"/>
        <rFont val="arial"/>
        <family val="2"/>
      </rPr>
      <t>,</t>
    </r>
    <r>
      <rPr>
        <sz val="9"/>
        <color rgb="FF404040"/>
        <rFont val="微软雅黑"/>
        <family val="2"/>
        <charset val="134"/>
      </rPr>
      <t>反映时点资产负债</t>
    </r>
  </si>
  <si>
    <r>
      <t xml:space="preserve">USDCNY </t>
    </r>
    <r>
      <rPr>
        <b/>
        <sz val="9"/>
        <color rgb="FF1F3864"/>
        <rFont val="微软雅黑"/>
        <family val="2"/>
        <charset val="134"/>
      </rPr>
      <t>期均</t>
    </r>
  </si>
  <si>
    <r>
      <rPr>
        <sz val="9"/>
        <color rgb="FF404040"/>
        <rFont val="微软雅黑"/>
        <family val="2"/>
        <charset val="134"/>
      </rPr>
      <t>报告期内每日</t>
    </r>
    <r>
      <rPr>
        <sz val="9"/>
        <color rgb="FF404040"/>
        <rFont val="arial"/>
        <family val="2"/>
      </rPr>
      <t xml:space="preserve"> close </t>
    </r>
    <r>
      <rPr>
        <sz val="9"/>
        <color rgb="FF404040"/>
        <rFont val="微软雅黑"/>
        <family val="2"/>
        <charset val="134"/>
      </rPr>
      <t>的算术平均。利润表</t>
    </r>
    <r>
      <rPr>
        <sz val="9"/>
        <color rgb="FF404040"/>
        <rFont val="arial"/>
        <family val="2"/>
      </rPr>
      <t xml:space="preserve"> / </t>
    </r>
    <r>
      <rPr>
        <sz val="9"/>
        <color rgb="FF404040"/>
        <rFont val="微软雅黑"/>
        <family val="2"/>
        <charset val="134"/>
      </rPr>
      <t>现金流量表使用</t>
    </r>
    <r>
      <rPr>
        <sz val="9"/>
        <color rgb="FF404040"/>
        <rFont val="arial"/>
        <family val="2"/>
      </rPr>
      <t>,</t>
    </r>
    <r>
      <rPr>
        <sz val="9"/>
        <color rgb="FF404040"/>
        <rFont val="微软雅黑"/>
        <family val="2"/>
        <charset val="134"/>
      </rPr>
      <t>反映期间损益</t>
    </r>
  </si>
  <si>
    <r>
      <rPr>
        <b/>
        <sz val="9"/>
        <color theme="0"/>
        <rFont val="微软雅黑"/>
        <family val="2"/>
        <charset val="134"/>
      </rPr>
      <t>报告期</t>
    </r>
  </si>
  <si>
    <r>
      <t>USDCNY</t>
    </r>
    <r>
      <rPr>
        <b/>
        <sz val="9"/>
        <color theme="0"/>
        <rFont val="微软雅黑"/>
        <family val="2"/>
        <charset val="134"/>
      </rPr>
      <t>期末</t>
    </r>
  </si>
  <si>
    <r>
      <t>USDCNY</t>
    </r>
    <r>
      <rPr>
        <b/>
        <sz val="9"/>
        <color theme="0"/>
        <rFont val="微软雅黑"/>
        <family val="2"/>
        <charset val="134"/>
      </rPr>
      <t>期均</t>
    </r>
  </si>
  <si>
    <r>
      <t>HKDCNY</t>
    </r>
    <r>
      <rPr>
        <b/>
        <sz val="9"/>
        <color theme="0"/>
        <rFont val="微软雅黑"/>
        <family val="2"/>
        <charset val="134"/>
      </rPr>
      <t>期末</t>
    </r>
  </si>
  <si>
    <r>
      <t>HKDCNY</t>
    </r>
    <r>
      <rPr>
        <b/>
        <sz val="9"/>
        <color theme="0"/>
        <rFont val="微软雅黑"/>
        <family val="2"/>
        <charset val="134"/>
      </rPr>
      <t>期均</t>
    </r>
  </si>
  <si>
    <r>
      <t>KRWCNY</t>
    </r>
    <r>
      <rPr>
        <b/>
        <sz val="9"/>
        <color theme="0"/>
        <rFont val="微软雅黑"/>
        <family val="2"/>
        <charset val="134"/>
      </rPr>
      <t>期末</t>
    </r>
  </si>
  <si>
    <r>
      <t>KRWCNY</t>
    </r>
    <r>
      <rPr>
        <b/>
        <sz val="9"/>
        <color theme="0"/>
        <rFont val="微软雅黑"/>
        <family val="2"/>
        <charset val="134"/>
      </rPr>
      <t>期均</t>
    </r>
  </si>
  <si>
    <r>
      <rPr>
        <b/>
        <sz val="9"/>
        <color theme="0"/>
        <rFont val="微软雅黑"/>
        <family val="2"/>
        <charset val="134"/>
      </rPr>
      <t>备注</t>
    </r>
    <r>
      <rPr>
        <b/>
        <sz val="9"/>
        <color theme="0"/>
        <rFont val="arial"/>
        <family val="2"/>
      </rPr>
      <t>/override</t>
    </r>
  </si>
  <si>
    <r>
      <rPr>
        <b/>
        <sz val="9"/>
        <color rgb="FFFFFFFF"/>
        <rFont val="微软雅黑"/>
        <family val="2"/>
        <charset val="134"/>
      </rPr>
      <t>汇率说明文档</t>
    </r>
  </si>
  <si>
    <r>
      <rPr>
        <b/>
        <sz val="9"/>
        <color rgb="FF1F3864"/>
        <rFont val="微软雅黑"/>
        <family val="2"/>
        <charset val="134"/>
      </rPr>
      <t>数据源</t>
    </r>
  </si>
  <si>
    <r>
      <rPr>
        <b/>
        <sz val="9"/>
        <color rgb="FF1F3864"/>
        <rFont val="微软雅黑"/>
        <family val="2"/>
        <charset val="134"/>
      </rPr>
      <t>字段定义</t>
    </r>
  </si>
  <si>
    <t>显示/隐藏 美股数据</t>
  </si>
  <si>
    <t>显示/隐藏 港股数据</t>
  </si>
  <si>
    <t>显示/隐藏 韩股数据</t>
  </si>
  <si>
    <t xml:space="preserve">  USDCNY</t>
  </si>
  <si>
    <t xml:space="preserve">  HKDCNY</t>
  </si>
  <si>
    <t xml:space="preserve">  KRWCNY</t>
  </si>
  <si>
    <t>上市公司财务数据查询</t>
  </si>
  <si>
    <t>§ 7 版本历史</t>
  </si>
  <si>
    <t>汇率数据来源</t>
  </si>
  <si>
    <t xml:space="preserve">  期末汇率</t>
  </si>
  <si>
    <t xml:space="preserve">  期间均值汇率</t>
  </si>
  <si>
    <t>雪球港股财务数据</t>
  </si>
  <si>
    <t>样本池</t>
  </si>
  <si>
    <t>抓取诊断</t>
  </si>
  <si>
    <t>参数设置</t>
  </si>
  <si>
    <t>年份（留空=取最新）</t>
  </si>
  <si>
    <t>Q1/Q2/Q3/Q4 或 全部</t>
  </si>
  <si>
    <t>A股(新浪)</t>
  </si>
  <si>
    <t>显示/隐藏 A股数据</t>
  </si>
  <si>
    <t>E6 = 原币</t>
  </si>
  <si>
    <t>E6 = 统一RMB</t>
  </si>
  <si>
    <t>显示/隐藏 所有市场数据</t>
  </si>
  <si>
    <t>梦百合(603313)</t>
  </si>
  <si>
    <t>喜临门(603008)</t>
  </si>
  <si>
    <t>致欧科技(301376)</t>
  </si>
  <si>
    <t>顾家家居(603816)</t>
  </si>
  <si>
    <t>Q4</t>
  </si>
  <si>
    <t>💡 使用提示
1. A2 / A4 选择年度 + 季度
2. B5 填雪球 cookie;B6 切原币 / 统一RMB
3. 第 14 行起按市场录入公司
4. 先点击右侧一键按钮抓取
5. 一键全抓会自动刷新所有市场指标表</t>
  </si>
  <si>
    <t>安克创新</t>
  </si>
  <si>
    <t>603313</t>
  </si>
  <si>
    <t>梦百合</t>
  </si>
  <si>
    <t>603008</t>
  </si>
  <si>
    <t>喜临门</t>
  </si>
  <si>
    <t>301376</t>
  </si>
  <si>
    <t>致欧科技</t>
  </si>
  <si>
    <t>603816</t>
  </si>
  <si>
    <t>顾家家居</t>
  </si>
  <si>
    <t>02519</t>
  </si>
  <si>
    <t>傲基股份</t>
  </si>
  <si>
    <t>013890</t>
  </si>
  <si>
    <t>际诺思</t>
  </si>
  <si>
    <t>傲基股份(02519)</t>
  </si>
  <si>
    <t>rshdevexp</t>
  </si>
  <si>
    <t>2025-12-31</t>
  </si>
  <si>
    <t>际诺思(013890)</t>
  </si>
  <si>
    <t>梦百合(603313) [A]</t>
  </si>
  <si>
    <t>喜临门(603008) [A]</t>
  </si>
  <si>
    <t>致欧科技(301376) [A]</t>
  </si>
  <si>
    <t>顾家家居(603816) [A]</t>
  </si>
  <si>
    <t>傲基股份(02519) [HK]</t>
  </si>
  <si>
    <t>际诺思(013890) [KR]</t>
  </si>
  <si>
    <t>一键抓取跨市场指标表</t>
  </si>
  <si>
    <t>一键清空所有数据</t>
  </si>
  <si>
    <t>大类</t>
  </si>
  <si>
    <t>CacheStatus</t>
    <phoneticPr fontId="7" type="noConversion"/>
  </si>
  <si>
    <t>CacheAgeHours</t>
    <phoneticPr fontId="7" type="noConversion"/>
  </si>
  <si>
    <t>HTTPStatus</t>
    <phoneticPr fontId="7" type="noConversion"/>
  </si>
  <si>
    <t>ElapsedMs</t>
    <phoneticPr fontId="7" type="noConversion"/>
  </si>
  <si>
    <t>RetryCount</t>
    <phoneticPr fontId="7" type="noConversion"/>
  </si>
  <si>
    <t>ErrorStage</t>
    <phoneticPr fontId="7" type="noConversion"/>
  </si>
  <si>
    <t>汇率数据说明</t>
  </si>
  <si>
    <t>本表记录跨市场报表折算成人民币时使用的汇率,供审阅、留痕和复算参考</t>
  </si>
  <si>
    <t>美元兑人民币(用于美股报表换算)。</t>
  </si>
  <si>
    <t>港币兑人民币(用于港股报表换算)。</t>
  </si>
  <si>
    <t>韩元兑人民币(用于韩股报表换算)。</t>
  </si>
  <si>
    <t xml:space="preserve">  数据获取方式</t>
  </si>
  <si>
    <t>工具自动从公开历史行情中获取报告期对应汇率;首次取数后会在本地保存 24 小时,避免重复获取。</t>
  </si>
  <si>
    <t>两类汇率口径</t>
  </si>
  <si>
    <t>报告期最后一日的汇率;按审计准则用于资产负债表项的人民币折算。</t>
  </si>
  <si>
    <t>报告期内每日汇率的算术平均;按审计准则用于利润表与现金流量表的人民币折算。</t>
  </si>
  <si>
    <t>折算规则</t>
  </si>
  <si>
    <t xml:space="preserve">  样本池 E6 = 原币</t>
  </si>
  <si>
    <t>按各公司原始报告币种显示,不做任何人民币折算。</t>
  </si>
  <si>
    <t xml:space="preserve">  样本池 E6 = 统一RMB</t>
  </si>
  <si>
    <t>非人民币的报告币种自动按报告期汇率折算,便于跨市场横向比较。</t>
  </si>
  <si>
    <t xml:space="preserve">  人民币本币</t>
  </si>
  <si>
    <t>报告币种本身为 RMB / CNY 时不做任何折算。</t>
  </si>
  <si>
    <t>手工调整汇率</t>
  </si>
  <si>
    <t xml:space="preserve">  操作方法</t>
  </si>
  <si>
    <t>如对自动取得的汇率有疑义,可直接修改本表 B-G 列对应单元格(蓝色字体);已生成的报表需要重跑相应『一键 X 股』按钮后,新汇率才会反映到数值上。</t>
  </si>
  <si>
    <t xml:space="preserve">  备注列</t>
  </si>
  <si>
    <t>H 列『备注/override』可填写汇率来源说明,便于审计留痕。</t>
  </si>
  <si>
    <t>本地暂存说明</t>
  </si>
  <si>
    <t xml:space="preserve">  24 小时有效期</t>
  </si>
  <si>
    <t>同一报告期、同一币种的汇率,24 小时内不重复获取,让连续跑数更快。</t>
  </si>
  <si>
    <t xml:space="preserve">  清空暂存</t>
  </si>
  <si>
    <t>样本池工具栏『清空 HTTP 缓存』按钮;清空后下次跑数会重新获取最新汇率与财报数据。</t>
  </si>
  <si>
    <t>使用注意事项</t>
  </si>
  <si>
    <t xml:space="preserve">  汇率缺失提示</t>
  </si>
  <si>
    <t>若某报告期或币种汇率获取失败,『统一RMB』模式下对应数值会显示为空,并在诊断表标记 FX_MISSING(默认隐藏);此时请检查该报告期是否在历史汇率发布期内。</t>
  </si>
  <si>
    <t xml:space="preserve">  审计追溯</t>
  </si>
  <si>
    <t>本表保留所有报告期使用的汇率,可作为人民币折算的工作底稿留档。</t>
  </si>
  <si>
    <t>面向财务、审计与投研团队的多市场同业对标工具</t>
  </si>
  <si>
    <t>Version 1.0</t>
  </si>
  <si>
    <t>支持 A 股 / 美股 / 港股 / 韩股 4 大市场,自动抓取财报、统一标准指标、跨市场可比展示</t>
  </si>
  <si>
    <t>修订日期: 2026-05-05</t>
  </si>
  <si>
    <t>目  录</t>
  </si>
  <si>
    <t>工具概览与适用场景</t>
  </si>
  <si>
    <t>快速开始(5 步上手)</t>
  </si>
  <si>
    <t>输出表说明</t>
  </si>
  <si>
    <t>数据来源说明</t>
  </si>
  <si>
    <t>原币 / 人民币切换说明</t>
  </si>
  <si>
    <t>常见问题与处置建议</t>
  </si>
  <si>
    <t>§ 8</t>
  </si>
  <si>
    <t>联系方式与免责声明</t>
  </si>
  <si>
    <t>§ 1 工具概览与适用场景</t>
  </si>
  <si>
    <t>本工具是一份基于 Excel + VBA 的本地化同业对标工作底稿。用户在『样本池』录入公司代码后,工具会自动从各市场公开数据源获取财报,统一整理为资产负债表、利润表、现金流量表和 18 项标准财务指标,并生成跨市场可比视图。</t>
  </si>
  <si>
    <t>典型应用场景:同业初筛、上市公司财务尽调、审计抽样的工作底稿准备、跨市场口径差异识别、管理层问询前的快速数据整理。</t>
  </si>
  <si>
    <t>覆盖</t>
  </si>
  <si>
    <t>公开数据来源</t>
  </si>
  <si>
    <t>A 股</t>
  </si>
  <si>
    <t>深市 / 沪市 主板 / 创业板 / 科创板</t>
  </si>
  <si>
    <t>新浪财经历史财报</t>
  </si>
  <si>
    <t>纽交所 / 纳斯达克(含中概股)</t>
  </si>
  <si>
    <t>美国上市公司披露数据;中概股有备用来源</t>
  </si>
  <si>
    <t>香港主板 / 创业板</t>
  </si>
  <si>
    <t>韩国 KRX 上市公司</t>
  </si>
  <si>
    <t>公开韩股财务报表</t>
  </si>
  <si>
    <t>§ 2 快速开始(5 步上手)</t>
  </si>
  <si>
    <t>动作</t>
  </si>
  <si>
    <t>选择期间</t>
  </si>
  <si>
    <t>在『样本池』E3 填年度(eg 2025;留空 = 自动取最新可用期间);E4 选择季度(全部 / Q1 / Q2 / Q3 / Q4)。</t>
  </si>
  <si>
    <t>配置凭证</t>
  </si>
  <si>
    <t>若需要港股或部分中概美股的备用来源,把雪球账号的 xq_a_token 复制到 E5(其他市场可不填)。</t>
  </si>
  <si>
    <t>选择展示币种</t>
  </si>
  <si>
    <t>E6 默认『原币』,显示各公司原报告币种;切换到『统一RMB』后,所有数值自动按报告期汇率折算成人民币。</t>
  </si>
  <si>
    <t>录入公司</t>
  </si>
  <si>
    <t>从第 14 行开始,按市场分栏录入代码和简称:A 股(A-B 列)/ 美股(D-E 列)/ 港股(G-H 列)/ 韩股(J-K 列)。每行一家公司。</t>
  </si>
  <si>
    <t>一键抓数</t>
  </si>
  <si>
    <t>点击右侧『一键全抓 4 市场』,工具会按顺序抓取 4 大市场数据,完成后自动展开各市场 sheet 并刷新跨市场指标表。也可单独点击『一键 X 股』只更新某一市场。</t>
  </si>
  <si>
    <t>§ 3 输出表说明</t>
  </si>
  <si>
    <t>表名</t>
  </si>
  <si>
    <t>可见性</t>
  </si>
  <si>
    <t>可见</t>
  </si>
  <si>
    <t>录入公司、设置参数与执行抓数的工作面板。</t>
  </si>
  <si>
    <t>4 大市场 18 项标准指标的合并对比视图,用于快速识别盈利能力、运营效率、现金生成、增长性的跨市场差异。</t>
  </si>
  <si>
    <t>A股 / 美股 / 港股 / 韩股报表</t>
  </si>
  <si>
    <t>每市场 4 张报表(资产负债表 / 利润表 / 现金流量表 / 指标表),保留各市场原始披露口径。</t>
  </si>
  <si>
    <t>默认隐藏</t>
  </si>
  <si>
    <t>记录抓数过程的字段命中情况、汇率使用、缓存状态。仅在排查数据缺口或追溯审计底稿时使用,日常分析无需打开。</t>
  </si>
  <si>
    <t>记录外币报表折算成人民币时使用的具体汇率;可作为人民币口径折算的工作底稿。</t>
  </si>
  <si>
    <t>§ 4 数据来源说明</t>
  </si>
  <si>
    <t>数据对象</t>
  </si>
  <si>
    <t>来源说明</t>
  </si>
  <si>
    <t>A 股财报</t>
  </si>
  <si>
    <t>新浪财经历史财报。</t>
  </si>
  <si>
    <t>美股财报</t>
  </si>
  <si>
    <t>美国上市公司披露数据为主路径;若主路径在某些公司无法返回完整字段(常见于中概股 20-F 申报人),工具会自动切换到雪球作为备用数据源。</t>
  </si>
  <si>
    <t>港股财报</t>
  </si>
  <si>
    <t>雪球港股财务数据。需要在 E5 配置一个有效的雪球登录凭证;凭证过期会出现取数失败,届时请重新登录雪球并复制新凭证到 E5。</t>
  </si>
  <si>
    <t>韩股财报</t>
  </si>
  <si>
    <t>公开韩股财务报表页面,不需要登录凭证。</t>
  </si>
  <si>
    <t>USDCNY / HKDCNY / KRWCNY 历史汇率,从公开行情数据获取,本地记录在『汇率』sheet 中。</t>
  </si>
  <si>
    <t>数据安全:所有抓数全部在本地完成,雪球登录凭证仅保存在工作簿单元格中,不会上传到任何远端服务。如需要把工作簿分享给同事或客户,请在分享前清空 E5(或运行内置的『发布版清理』宏)。</t>
  </si>
  <si>
    <t>§ 5 原币 / 人民币切换说明</t>
  </si>
  <si>
    <t>默认状态。各公司按原报告币种显示(美股 USD / 港股 HKD 或 CNY / 韩股 KRW / A 股 RMB),不做任何换算。适合保留各市场披露原貌。</t>
  </si>
  <si>
    <t>工具会把所有非人民币的报告币种自动按报告期汇率折算成人民币:资产负债表用『期末汇率』,利润表与现金流量表用『期间均值汇率』。便于跨市场金额量级直接比较。</t>
  </si>
  <si>
    <t>人民币口径</t>
  </si>
  <si>
    <t>报告币种本身为 RMB / CNY 的公司(eg A 股、大陆港股)无需折算,系统自动跳过汇率计算。</t>
  </si>
  <si>
    <t>汇率手动调整</t>
  </si>
  <si>
    <t>如对自动获取的汇率有异议,可直接修改『汇率』sheet 中对应单元格;修改后需要重跑对应市场的『一键 X 股』按钮,新汇率才会反映到报表数值上。</t>
  </si>
  <si>
    <t>汇率缺失</t>
  </si>
  <si>
    <t>若某报告期或币种汇率获取失败,『统一RMB』模式下相关单元格显示为空,并在抓取诊断 sheet 标记 FX_MISSING(避免误用人民币数值);此时请检查报告期是否在历史汇率发布区间。</t>
  </si>
  <si>
    <t>§ 6 常见问题与处置建议</t>
  </si>
  <si>
    <t>编号</t>
  </si>
  <si>
    <t>建议</t>
  </si>
  <si>
    <t>Q1</t>
  </si>
  <si>
    <t>港股或中概美股取数失败,该怎么办?</t>
  </si>
  <si>
    <t>雪球登录凭证(E5)过期是最常见原因。请重新登录雪球网页版,复制 xq_a_token 到 E5,然后重跑相应市场的『一键 X 股』。</t>
  </si>
  <si>
    <t>Q2</t>
  </si>
  <si>
    <t>切换『原币 / 统一RMB』后数字变了是正常的吗?</t>
  </si>
  <si>
    <t>正常。『统一RMB』会把外币报告币种按汇率折算成人民币,用于跨市场可比展示。原币和统一RMB 的差异本质是汇率乘数。</t>
  </si>
  <si>
    <t>Q3</t>
  </si>
  <si>
    <t>为什么韩股某些数字看起来异常大或异常小?</t>
  </si>
  <si>
    <t>韩股原报告单位通常是亿韩元;切换到统一RMB 后约为韩元金额 ÷ 200。若数字明显异常,请先核对汇率 sheet 是否有 KRWCNY 数据,以及抓取诊断中是否出现 FX_MISSING 标记。</t>
  </si>
  <si>
    <t>跨市场指标表什么时候会刷新?</t>
  </si>
  <si>
    <t>点击『一键全抓 4 市场』后自动刷新;也可以使用样本池上的『合并跨市场指标表』按钮单独刷新(已抓取的数据不会重抓)。</t>
  </si>
  <si>
    <t>Q5</t>
  </si>
  <si>
    <t>工具会重复抓数吗?会不会被数据源限速?</t>
  </si>
  <si>
    <t>工具内置 24 小时本地暂存:相同公司、相同期间在 24 小时内重复使用,不会重新发起请求。SEC EDGAR 等公开数据源有自动限流(≥110ms 间隔),不会触发对方反爬限制。</t>
  </si>
  <si>
    <t>Q6</t>
  </si>
  <si>
    <t>数据来源页面如果改版了怎么办?</t>
  </si>
  <si>
    <t>工具内置 8 项离线测试覆盖各市场字段映射,以及实时诊断表记录每次抓数的命中情况。若发现数据来源页面结构变化导致字段抓取异常,请联系作者更新字段映射规则。</t>
  </si>
  <si>
    <t>Q7</t>
  </si>
  <si>
    <t>升级新版本会丢失我已经录入的样本池公司吗?</t>
  </si>
  <si>
    <t>不会。安装脚本只刷新配置区和操作区,已录入的公司代码会自动迁移到第 14 行起。</t>
  </si>
  <si>
    <t>Q8</t>
  </si>
  <si>
    <t>可以把工作簿分享给同事吗?</t>
  </si>
  <si>
    <t>可以。但分享前请运行内置的『发布版清理』宏(在 VBA 编辑器中调用 CleanReleaseWorkbook),会清空登录凭证、抓数历史和本地暂存,确保不泄露个人凭证。</t>
  </si>
  <si>
    <t>v1.0</t>
  </si>
  <si>
    <t>正式发布版。覆盖 A 股 / 美股 / 港股 / 韩股 4 大市场;含跨市场指标合并表、原币 / 人民币实时切换、本地暂存、抓取诊断、数据质量自动检查、离线回归测试。</t>
  </si>
  <si>
    <t>Phase 4j-4n</t>
  </si>
  <si>
    <t>2026-05-04 至 -05</t>
  </si>
  <si>
    <t>样本池视觉重构、用户视角文档商务化、汇率缺失保护、HTTP 诊断遥测、重试退避、数据质量 QA、cache 分源 TTL、AppStateGuard 状态守护。</t>
  </si>
  <si>
    <t>Phase 4f-4i</t>
  </si>
  <si>
    <t>RMB 换算 hook、跨市场指标合并、实时币种切换、本地暂存、UX 抛光。</t>
  </si>
  <si>
    <t>Phase 4b-4e</t>
  </si>
  <si>
    <t>2026-05-02 至 -03</t>
  </si>
  <si>
    <t>美股 EDGAR / 雪球字段映射、港股雪球数据接入、韩股 stockanalysis 数据接入、四市场分栏样本池。</t>
  </si>
  <si>
    <t>V2.x</t>
  </si>
  <si>
    <t>~2026-04</t>
  </si>
  <si>
    <t>前身:基于新浪 A 股的单市场宽表工具。</t>
  </si>
  <si>
    <t>§ 8 联系方式与免责声明</t>
  </si>
  <si>
    <t>项目</t>
  </si>
  <si>
    <t>内容</t>
  </si>
  <si>
    <t>作者</t>
  </si>
  <si>
    <t>Eric Zhang</t>
  </si>
  <si>
    <t>邮箱</t>
  </si>
  <si>
    <t>214978902@qq.com</t>
  </si>
  <si>
    <t>发行版本</t>
  </si>
  <si>
    <t>v1.0(2026-05-05)</t>
  </si>
  <si>
    <t>使用许可</t>
  </si>
  <si>
    <t>个人 / 内部审计、研究用途;数据来源遵循各源站 Fair Use / Terms。</t>
  </si>
  <si>
    <t>免责声明</t>
  </si>
  <si>
    <t>本工具仅整理公开披露数据,不构成投资建议;数据质量取决于源站披露。使用前请自行核对关键数值。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</si>
</sst>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_-* #,##0.00_-;\-* #,##0.00_-;_-* &quot;-&quot;??_-;_-@_-"/>
    <numFmt numFmtId="178" formatCode="0.0000;\(0.0000\);\-"/>
    <numFmt numFmtId="179" formatCode="0.000000;\(0.000000\);\-"/>
  </numFmts>
  <fonts count="39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4"/>
      <color rgb="FFFFFFFF"/>
      <name val="微软雅黑"/>
      <family val="2"/>
      <charset val="134"/>
    </font>
    <font>
      <b/>
      <sz val="24"/>
      <color rgb="FFFFFFFF"/>
      <name val="微软雅黑"/>
      <family val="2"/>
      <charset val="134"/>
    </font>
    <font>
      <b/>
      <sz val="13"/>
      <color rgb="FF1F4E79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sz val="9"/>
      <color rgb="FFFFFFFF"/>
      <name val="arial"/>
      <family val="2"/>
    </font>
    <font>
      <b/>
      <sz val="9"/>
      <color rgb="FFFFFFFF"/>
      <name val="微软雅黑"/>
      <family val="2"/>
      <charset val="134"/>
    </font>
    <font>
      <sz val="9"/>
      <color theme="1"/>
      <name val="arial"/>
      <family val="2"/>
    </font>
    <font>
      <b/>
      <sz val="9"/>
      <color rgb="FF1F3864"/>
      <name val="微软雅黑"/>
      <family val="2"/>
      <charset val="134"/>
    </font>
    <font>
      <b/>
      <sz val="9"/>
      <color rgb="FF1F3864"/>
      <name val="arial"/>
      <family val="2"/>
    </font>
    <font>
      <sz val="9"/>
      <color rgb="FF404040"/>
      <name val="arial"/>
      <family val="2"/>
    </font>
    <font>
      <sz val="9"/>
      <color rgb="FF404040"/>
      <name val="微软雅黑"/>
      <family val="2"/>
      <charset val="134"/>
    </font>
    <font>
      <b/>
      <sz val="9"/>
      <color theme="0"/>
      <name val="arial"/>
      <family val="2"/>
    </font>
    <font>
      <b/>
      <sz val="9"/>
      <color theme="0"/>
      <name val="微软雅黑"/>
      <family val="2"/>
      <charset val="134"/>
    </font>
    <font>
      <sz val="9"/>
      <color rgb="FF262626"/>
      <name val="arial"/>
      <family val="2"/>
    </font>
    <font>
      <b/>
      <sz val="9"/>
      <color rgb="FF262626"/>
      <name val="arial"/>
      <family val="2"/>
    </font>
    <font>
      <sz val="10"/>
      <color rgb="FFFFFFFF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b/>
      <sz val="11"/>
      <color rgb="FF1F3864"/>
      <name val="微软雅黑"/>
      <family val="2"/>
      <charset val="134"/>
    </font>
    <font>
      <b/>
      <sz val="11"/>
      <color rgb="FF9C0006"/>
      <name val="微软雅黑"/>
      <family val="2"/>
      <charset val="134"/>
    </font>
    <font>
      <b/>
      <sz val="11"/>
      <color rgb="FF375623"/>
      <name val="微软雅黑"/>
      <family val="2"/>
      <charset val="134"/>
    </font>
    <font>
      <b/>
      <sz val="11"/>
      <color rgb="FF5B2B82"/>
      <name val="微软雅黑"/>
      <family val="2"/>
      <charset val="134"/>
    </font>
    <font>
      <b/>
      <sz val="13"/>
      <color rgb="FFFFFFFF"/>
      <name val="微软雅黑"/>
      <family val="2"/>
      <charset val="134"/>
    </font>
    <font>
      <i/>
      <sz val="10"/>
      <color rgb="FF595959"/>
      <name val="微软雅黑"/>
      <family val="2"/>
      <charset val="134"/>
    </font>
    <font>
      <b/>
      <sz val="10"/>
      <color rgb="FF1F3864"/>
      <name val="微软雅黑"/>
      <family val="2"/>
      <charset val="134"/>
    </font>
    <font>
      <sz val="12"/>
      <color rgb="FFFFFFFF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F8DF"/>
        <bgColor indexed="64"/>
      </patternFill>
    </fill>
    <fill>
      <patternFill patternType="solid">
        <fgColor rgb="FFFCE4E4"/>
        <bgColor indexed="64"/>
      </patternFill>
    </fill>
    <fill>
      <patternFill patternType="solid">
        <fgColor rgb="FFEAF4E3"/>
        <bgColor indexed="64"/>
      </patternFill>
    </fill>
    <fill>
      <patternFill patternType="solid">
        <fgColor rgb="FFEEE8F7"/>
        <bgColor indexed="64"/>
      </patternFill>
    </fill>
    <fill>
      <patternFill patternType="solid">
        <fgColor rgb="FFFFF8E6"/>
        <bgColor indexed="64"/>
      </patternFill>
    </fill>
    <fill>
      <patternFill patternType="solid">
        <fgColor rgb="FFF2F2F2"/>
        <bgColor indexed="64"/>
      </patternFill>
    </fill>
  </fills>
  <borders count="5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1F3864"/>
      </left>
      <right style="thin">
        <color rgb="FFD6DCE8"/>
      </right>
      <top style="thin">
        <color rgb="FFD6DCE8"/>
      </top>
      <bottom style="thin">
        <color rgb="FFD6DCE8"/>
      </bottom>
      <diagonal/>
    </border>
    <border>
      <left style="thin">
        <color rgb="FFD6DCE8"/>
      </left>
      <right style="thin">
        <color rgb="FFD6DCE8"/>
      </right>
      <top style="thin">
        <color rgb="FFD6DCE8"/>
      </top>
      <bottom style="thin">
        <color rgb="FFD6DCE8"/>
      </bottom>
      <diagonal/>
    </border>
    <border>
      <left style="thin">
        <color rgb="FFD6DCE8"/>
      </left>
      <right style="thin">
        <color rgb="FF1F3864"/>
      </right>
      <top style="thin">
        <color rgb="FFD6DCE8"/>
      </top>
      <bottom style="thin">
        <color rgb="FFD6DCE8"/>
      </bottom>
      <diagonal/>
    </border>
    <border>
      <left style="thin">
        <color rgb="FF1F3864"/>
      </left>
      <right style="thin">
        <color rgb="FFD6DCE8"/>
      </right>
      <top style="thin">
        <color rgb="FFD6DCE8"/>
      </top>
      <bottom style="thin">
        <color rgb="FF1F3864"/>
      </bottom>
      <diagonal/>
    </border>
    <border>
      <left style="thin">
        <color rgb="FFD6DCE8"/>
      </left>
      <right style="thin">
        <color rgb="FFD6DCE8"/>
      </right>
      <top style="thin">
        <color rgb="FFD6DCE8"/>
      </top>
      <bottom style="thin">
        <color rgb="FF1F3864"/>
      </bottom>
      <diagonal/>
    </border>
    <border>
      <left style="thin">
        <color rgb="FFD6DCE8"/>
      </left>
      <right style="thin">
        <color rgb="FF1F3864"/>
      </right>
      <top style="thin">
        <color rgb="FFD6DCE8"/>
      </top>
      <bottom style="thin">
        <color rgb="FF1F3864"/>
      </bottom>
      <diagonal/>
    </border>
    <border>
      <left style="thin">
        <color rgb="FF1F3864"/>
      </left>
      <right style="thin">
        <color rgb="FFD6DCE8"/>
      </right>
      <top/>
      <bottom style="thin">
        <color rgb="FFD6DCE8"/>
      </bottom>
      <diagonal/>
    </border>
    <border>
      <left style="thin">
        <color rgb="FFD6DCE8"/>
      </left>
      <right style="thin">
        <color rgb="FFD6DCE8"/>
      </right>
      <top/>
      <bottom style="thin">
        <color rgb="FFD6DCE8"/>
      </bottom>
      <diagonal/>
    </border>
    <border>
      <left style="thin">
        <color rgb="FFD6DCE8"/>
      </left>
      <right style="thin">
        <color rgb="FF1F3864"/>
      </right>
      <top/>
      <bottom style="thin">
        <color rgb="FFD6DCE8"/>
      </bottom>
      <diagonal/>
    </border>
    <border>
      <left style="thin">
        <color rgb="FF1F3864"/>
      </left>
      <right style="thin">
        <color rgb="FFD6DCE8"/>
      </right>
      <top style="thin">
        <color rgb="FF1F3864"/>
      </top>
      <bottom style="medium">
        <color rgb="FF1F3864"/>
      </bottom>
      <diagonal/>
    </border>
    <border>
      <left style="thin">
        <color rgb="FFD6DCE8"/>
      </left>
      <right style="thin">
        <color rgb="FFD6DCE8"/>
      </right>
      <top style="thin">
        <color rgb="FF1F3864"/>
      </top>
      <bottom style="medium">
        <color rgb="FF1F3864"/>
      </bottom>
      <diagonal/>
    </border>
    <border>
      <left style="thin">
        <color rgb="FFD6DCE8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thin">
        <color rgb="FFE7ECF4"/>
      </right>
      <top style="thin">
        <color rgb="FFE7ECF4"/>
      </top>
      <bottom style="thin">
        <color rgb="FFE7ECF4"/>
      </bottom>
      <diagonal/>
    </border>
    <border>
      <left style="thin">
        <color rgb="FFE7ECF4"/>
      </left>
      <right style="thin">
        <color rgb="FF1F3864"/>
      </right>
      <top style="thin">
        <color rgb="FFE7ECF4"/>
      </top>
      <bottom style="thin">
        <color rgb="FFE7ECF4"/>
      </bottom>
      <diagonal/>
    </border>
    <border>
      <left style="thin">
        <color rgb="FF1F3864"/>
      </left>
      <right style="thin">
        <color rgb="FFE7ECF4"/>
      </right>
      <top/>
      <bottom style="thin">
        <color rgb="FFE7ECF4"/>
      </bottom>
      <diagonal/>
    </border>
    <border>
      <left style="thin">
        <color rgb="FFE7ECF4"/>
      </left>
      <right style="thin">
        <color rgb="FF1F3864"/>
      </right>
      <top/>
      <bottom style="thin">
        <color rgb="FFE7ECF4"/>
      </bottom>
      <diagonal/>
    </border>
    <border>
      <left style="thin">
        <color rgb="FF1F3864"/>
      </left>
      <right style="thin">
        <color rgb="FFE7ECF4"/>
      </right>
      <top style="thin">
        <color rgb="FF1F3864"/>
      </top>
      <bottom style="medium">
        <color rgb="FF1F3864"/>
      </bottom>
      <diagonal/>
    </border>
    <border>
      <left style="thin">
        <color rgb="FFE7ECF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7EA6D9"/>
      </left>
      <right/>
      <top style="thin">
        <color rgb="FF7EA6D9"/>
      </top>
      <bottom/>
      <diagonal/>
    </border>
    <border>
      <left style="thin">
        <color rgb="FFF1C232"/>
      </left>
      <right/>
      <top/>
      <bottom/>
      <diagonal/>
    </border>
    <border>
      <left style="thin">
        <color rgb="FFF1C232"/>
      </left>
      <right/>
      <top style="thin">
        <color rgb="FFF1C232"/>
      </top>
      <bottom/>
      <diagonal/>
    </border>
    <border>
      <left/>
      <right/>
      <top style="thin">
        <color rgb="FFF1C232"/>
      </top>
      <bottom/>
      <diagonal/>
    </border>
    <border>
      <left style="thin">
        <color rgb="FFF1C232"/>
      </left>
      <right/>
      <top/>
      <bottom style="thin">
        <color rgb="FFF1C232"/>
      </bottom>
      <diagonal/>
    </border>
    <border>
      <left/>
      <right/>
      <top/>
      <bottom style="thin">
        <color rgb="FFF1C232"/>
      </bottom>
      <diagonal/>
    </border>
    <border>
      <left/>
      <right style="thin">
        <color rgb="FFF1C232"/>
      </right>
      <top style="thin">
        <color rgb="FFF1C232"/>
      </top>
      <bottom/>
      <diagonal/>
    </border>
    <border>
      <left/>
      <right style="thin">
        <color rgb="FFF1C232"/>
      </right>
      <top/>
      <bottom/>
      <diagonal/>
    </border>
    <border>
      <left/>
      <right style="thin">
        <color rgb="FFF1C232"/>
      </right>
      <top/>
      <bottom style="thin">
        <color rgb="FFF1C23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7EA6D9"/>
      </left>
      <right/>
      <top style="thin">
        <color rgb="FF7EA6D9"/>
      </top>
      <bottom style="thin">
        <color rgb="FF7EA6D9"/>
      </bottom>
      <diagonal/>
    </border>
    <border>
      <left style="thin">
        <color rgb="FFB7C9E2"/>
      </left>
      <right/>
      <top/>
      <bottom/>
      <diagonal/>
    </border>
    <border>
      <left style="thin">
        <color rgb="FFB7C9E2"/>
      </left>
      <right/>
      <top style="thin">
        <color rgb="FFB7C9E2"/>
      </top>
      <bottom/>
      <diagonal/>
    </border>
    <border>
      <left/>
      <right/>
      <top style="thin">
        <color rgb="FFB7C9E2"/>
      </top>
      <bottom/>
      <diagonal/>
    </border>
    <border>
      <left style="thin">
        <color rgb="FFB7C9E2"/>
      </left>
      <right/>
      <top/>
      <bottom style="thin">
        <color rgb="FFB7C9E2"/>
      </bottom>
      <diagonal/>
    </border>
    <border>
      <left/>
      <right/>
      <top/>
      <bottom style="thin">
        <color rgb="FFB7C9E2"/>
      </bottom>
      <diagonal/>
    </border>
    <border>
      <left/>
      <right style="thin">
        <color rgb="FFB7C9E2"/>
      </right>
      <top style="thin">
        <color rgb="FFB7C9E2"/>
      </top>
      <bottom/>
      <diagonal/>
    </border>
    <border>
      <left/>
      <right style="thin">
        <color rgb="FFB7C9E2"/>
      </right>
      <top/>
      <bottom/>
      <diagonal/>
    </border>
    <border>
      <left/>
      <right style="thin">
        <color rgb="FFB7C9E2"/>
      </right>
      <top/>
      <bottom style="thin">
        <color rgb="FFB7C9E2"/>
      </bottom>
      <diagonal/>
    </border>
    <border>
      <left style="thin">
        <color rgb="FF808080"/>
      </left>
      <right/>
      <top/>
      <bottom/>
      <diagonal/>
    </border>
  </borders>
  <cellStyleXfs count="1">
    <xf numFmtId="0" fontId="0" fillId="0" borderId="0"/>
  </cellStyleXfs>
  <cellXfs count="194">
    <xf numFmtId="0" fontId="0" fillId="0" borderId="0" xfId="0"/>
    <xf numFmtId="49" fontId="0" fillId="0" borderId="0" xfId="0" applyNumberFormat="1"/>
    <xf numFmtId="49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176" fontId="3" fillId="2" borderId="1" xfId="0" applyNumberFormat="1" applyFont="1" applyFill="1" applyBorder="1" applyAlignment="1">
      <alignment horizontal="center"/>
    </xf>
    <xf numFmtId="0" fontId="6" fillId="0" borderId="1" xfId="0" applyFont="1" applyBorder="1"/>
    <xf numFmtId="177" fontId="5" fillId="0" borderId="1" xfId="0" applyNumberFormat="1" applyFont="1" applyBorder="1" applyAlignment="1">
      <alignment horizontal="right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right" vertical="center"/>
    </xf>
    <xf numFmtId="176" fontId="1" fillId="2" borderId="1" xfId="0" applyNumberFormat="1" applyFont="1" applyFill="1" applyBorder="1" applyAlignment="1">
      <alignment horizontal="center" vertical="center"/>
    </xf>
    <xf numFmtId="10" fontId="5" fillId="0" borderId="1" xfId="0" applyNumberFormat="1" applyFont="1" applyBorder="1" applyAlignment="1">
      <alignment horizontal="right"/>
    </xf>
    <xf numFmtId="2" fontId="5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wrapText="1"/>
    </xf>
    <xf numFmtId="176" fontId="3" fillId="2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10" fontId="0" fillId="0" borderId="1" xfId="0" applyNumberFormat="1" applyBorder="1"/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wrapText="1"/>
    </xf>
    <xf numFmtId="0" fontId="19" fillId="0" borderId="0" xfId="0" applyFont="1"/>
    <xf numFmtId="49" fontId="19" fillId="0" borderId="0" xfId="0" applyNumberFormat="1" applyFont="1"/>
    <xf numFmtId="0" fontId="19" fillId="0" borderId="0" xfId="0" applyFont="1" applyAlignment="1">
      <alignment horizontal="left" vertical="center" wrapText="1"/>
    </xf>
    <xf numFmtId="0" fontId="19" fillId="5" borderId="0" xfId="0" applyFont="1" applyFill="1"/>
    <xf numFmtId="0" fontId="19" fillId="3" borderId="16" xfId="0" applyFont="1" applyFill="1" applyBorder="1" applyAlignment="1">
      <alignment horizontal="left" vertical="center" wrapText="1"/>
    </xf>
    <xf numFmtId="0" fontId="19" fillId="3" borderId="18" xfId="0" applyFont="1" applyFill="1" applyBorder="1" applyAlignment="1">
      <alignment horizontal="left" vertical="center" wrapText="1"/>
    </xf>
    <xf numFmtId="0" fontId="21" fillId="5" borderId="15" xfId="0" applyFont="1" applyFill="1" applyBorder="1" applyAlignment="1">
      <alignment horizontal="left" vertical="center" wrapText="1" indent="2"/>
    </xf>
    <xf numFmtId="0" fontId="22" fillId="5" borderId="16" xfId="0" applyFont="1" applyFill="1" applyBorder="1" applyAlignment="1">
      <alignment horizontal="left" vertical="center" wrapText="1" indent="1"/>
    </xf>
    <xf numFmtId="49" fontId="24" fillId="4" borderId="12" xfId="0" applyNumberFormat="1" applyFont="1" applyFill="1" applyBorder="1" applyAlignment="1">
      <alignment horizontal="center" vertical="center" wrapText="1"/>
    </xf>
    <xf numFmtId="0" fontId="24" fillId="4" borderId="13" xfId="0" applyFont="1" applyFill="1" applyBorder="1" applyAlignment="1">
      <alignment horizontal="center" vertical="center" wrapText="1"/>
    </xf>
    <xf numFmtId="0" fontId="24" fillId="4" borderId="14" xfId="0" applyFont="1" applyFill="1" applyBorder="1" applyAlignment="1">
      <alignment horizontal="center" vertical="center" wrapText="1"/>
    </xf>
    <xf numFmtId="0" fontId="17" fillId="4" borderId="19" xfId="0" applyFont="1" applyFill="1" applyBorder="1" applyAlignment="1">
      <alignment vertical="center"/>
    </xf>
    <xf numFmtId="0" fontId="17" fillId="4" borderId="20" xfId="0" applyFont="1" applyFill="1" applyBorder="1" applyAlignment="1">
      <alignment vertical="center"/>
    </xf>
    <xf numFmtId="49" fontId="21" fillId="5" borderId="9" xfId="0" applyNumberFormat="1" applyFont="1" applyFill="1" applyBorder="1" applyAlignment="1">
      <alignment horizontal="center" vertical="center"/>
    </xf>
    <xf numFmtId="178" fontId="26" fillId="5" borderId="10" xfId="0" applyNumberFormat="1" applyFont="1" applyFill="1" applyBorder="1" applyAlignment="1">
      <alignment horizontal="right" vertical="center" indent="1"/>
    </xf>
    <xf numFmtId="179" fontId="26" fillId="5" borderId="10" xfId="0" applyNumberFormat="1" applyFont="1" applyFill="1" applyBorder="1" applyAlignment="1">
      <alignment horizontal="right" vertical="center" indent="1"/>
    </xf>
    <xf numFmtId="0" fontId="26" fillId="5" borderId="11" xfId="0" applyFont="1" applyFill="1" applyBorder="1" applyAlignment="1">
      <alignment horizontal="left" vertical="center" wrapText="1" indent="1"/>
    </xf>
    <xf numFmtId="0" fontId="21" fillId="3" borderId="17" xfId="0" applyFont="1" applyFill="1" applyBorder="1" applyAlignment="1">
      <alignment horizontal="left" vertical="center" wrapText="1" indent="1"/>
    </xf>
    <xf numFmtId="49" fontId="21" fillId="6" borderId="3" xfId="0" applyNumberFormat="1" applyFont="1" applyFill="1" applyBorder="1" applyAlignment="1">
      <alignment horizontal="center" vertical="center"/>
    </xf>
    <xf numFmtId="178" fontId="26" fillId="6" borderId="4" xfId="0" applyNumberFormat="1" applyFont="1" applyFill="1" applyBorder="1" applyAlignment="1">
      <alignment horizontal="right" vertical="center" indent="1"/>
    </xf>
    <xf numFmtId="179" fontId="26" fillId="6" borderId="4" xfId="0" applyNumberFormat="1" applyFont="1" applyFill="1" applyBorder="1" applyAlignment="1">
      <alignment horizontal="right" vertical="center" indent="1"/>
    </xf>
    <xf numFmtId="0" fontId="26" fillId="6" borderId="5" xfId="0" applyFont="1" applyFill="1" applyBorder="1" applyAlignment="1">
      <alignment horizontal="left" vertical="center" wrapText="1" indent="1"/>
    </xf>
    <xf numFmtId="49" fontId="21" fillId="5" borderId="3" xfId="0" applyNumberFormat="1" applyFont="1" applyFill="1" applyBorder="1" applyAlignment="1">
      <alignment horizontal="center" vertical="center"/>
    </xf>
    <xf numFmtId="178" fontId="26" fillId="5" borderId="4" xfId="0" applyNumberFormat="1" applyFont="1" applyFill="1" applyBorder="1" applyAlignment="1">
      <alignment horizontal="right" vertical="center" indent="1"/>
    </xf>
    <xf numFmtId="179" fontId="26" fillId="5" borderId="4" xfId="0" applyNumberFormat="1" applyFont="1" applyFill="1" applyBorder="1" applyAlignment="1">
      <alignment horizontal="right" vertical="center" indent="1"/>
    </xf>
    <xf numFmtId="0" fontId="26" fillId="5" borderId="5" xfId="0" applyFont="1" applyFill="1" applyBorder="1" applyAlignment="1">
      <alignment horizontal="left" vertical="center" wrapText="1" indent="1"/>
    </xf>
    <xf numFmtId="0" fontId="21" fillId="3" borderId="15" xfId="0" applyFont="1" applyFill="1" applyBorder="1" applyAlignment="1">
      <alignment horizontal="left" vertical="center" wrapText="1" indent="1"/>
    </xf>
    <xf numFmtId="49" fontId="21" fillId="6" borderId="6" xfId="0" applyNumberFormat="1" applyFont="1" applyFill="1" applyBorder="1" applyAlignment="1">
      <alignment horizontal="center" vertical="center"/>
    </xf>
    <xf numFmtId="178" fontId="26" fillId="6" borderId="7" xfId="0" applyNumberFormat="1" applyFont="1" applyFill="1" applyBorder="1" applyAlignment="1">
      <alignment horizontal="right" vertical="center" indent="1"/>
    </xf>
    <xf numFmtId="179" fontId="26" fillId="6" borderId="7" xfId="0" applyNumberFormat="1" applyFont="1" applyFill="1" applyBorder="1" applyAlignment="1">
      <alignment horizontal="right" vertical="center" indent="1"/>
    </xf>
    <xf numFmtId="0" fontId="26" fillId="6" borderId="8" xfId="0" applyFont="1" applyFill="1" applyBorder="1" applyAlignment="1">
      <alignment horizontal="left" vertical="center" wrapText="1" indent="1"/>
    </xf>
    <xf numFmtId="49" fontId="27" fillId="5" borderId="0" xfId="0" applyNumberFormat="1" applyFont="1" applyFill="1" applyAlignment="1">
      <alignment horizontal="center" vertical="center"/>
    </xf>
    <xf numFmtId="178" fontId="26" fillId="5" borderId="0" xfId="0" applyNumberFormat="1" applyFont="1" applyFill="1" applyAlignment="1">
      <alignment horizontal="right" vertical="center" indent="1"/>
    </xf>
    <xf numFmtId="179" fontId="26" fillId="5" borderId="0" xfId="0" applyNumberFormat="1" applyFont="1" applyFill="1" applyAlignment="1">
      <alignment horizontal="right" vertical="center" indent="1"/>
    </xf>
    <xf numFmtId="0" fontId="26" fillId="5" borderId="0" xfId="0" applyFont="1" applyFill="1" applyAlignment="1">
      <alignment horizontal="left" vertical="center" wrapText="1" indent="1"/>
    </xf>
    <xf numFmtId="0" fontId="4" fillId="0" borderId="0" xfId="0" applyFont="1" applyAlignment="1">
      <alignment horizontal="left" vertical="center" wrapText="1"/>
    </xf>
    <xf numFmtId="0" fontId="4" fillId="5" borderId="0" xfId="0" applyFont="1" applyFill="1" applyAlignment="1">
      <alignment horizontal="left" vertical="center" wrapText="1"/>
    </xf>
    <xf numFmtId="0" fontId="29" fillId="5" borderId="2" xfId="0" applyFont="1" applyFill="1" applyBorder="1" applyAlignment="1">
      <alignment horizontal="left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5" fillId="0" borderId="30" xfId="0" applyFont="1" applyBorder="1"/>
    <xf numFmtId="49" fontId="5" fillId="0" borderId="34" xfId="0" applyNumberFormat="1" applyFont="1" applyBorder="1"/>
    <xf numFmtId="0" fontId="5" fillId="0" borderId="34" xfId="0" applyFont="1" applyBorder="1"/>
    <xf numFmtId="0" fontId="5" fillId="5" borderId="30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0" fillId="0" borderId="43" xfId="0" applyBorder="1"/>
    <xf numFmtId="0" fontId="0" fillId="0" borderId="49" xfId="0" applyBorder="1"/>
    <xf numFmtId="49" fontId="5" fillId="5" borderId="30" xfId="0" applyNumberFormat="1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7" borderId="41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49" fontId="10" fillId="0" borderId="1" xfId="0" applyNumberFormat="1" applyFont="1" applyBorder="1" applyAlignment="1">
      <alignment horizontal="right" vertical="center"/>
    </xf>
    <xf numFmtId="49" fontId="3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5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14" fontId="29" fillId="5" borderId="2" xfId="0" applyNumberFormat="1" applyFont="1" applyFill="1" applyBorder="1" applyAlignment="1">
      <alignment horizontal="left" vertical="center" wrapText="1"/>
    </xf>
    <xf numFmtId="0" fontId="13" fillId="4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center" vertical="center"/>
    </xf>
    <xf numFmtId="0" fontId="36" fillId="5" borderId="0" xfId="0" applyFont="1" applyFill="1" applyAlignment="1">
      <alignment horizontal="left" vertical="center" wrapText="1"/>
    </xf>
    <xf numFmtId="0" fontId="36" fillId="5" borderId="0" xfId="0" applyFont="1" applyFill="1" applyAlignment="1">
      <alignment horizontal="left" vertical="center" indent="1"/>
    </xf>
    <xf numFmtId="0" fontId="13" fillId="2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left" vertical="center" wrapText="1"/>
    </xf>
    <xf numFmtId="0" fontId="14" fillId="4" borderId="0" xfId="0" applyFont="1" applyFill="1" applyAlignment="1">
      <alignment horizontal="center" vertical="center" wrapText="1"/>
    </xf>
    <xf numFmtId="0" fontId="38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2" fillId="4" borderId="31" xfId="0" applyFont="1" applyFill="1" applyBorder="1" applyAlignment="1">
      <alignment horizontal="left" vertical="center" wrapText="1" indent="1"/>
    </xf>
    <xf numFmtId="0" fontId="2" fillId="4" borderId="42" xfId="0" applyFont="1" applyFill="1" applyBorder="1" applyAlignment="1">
      <alignment horizontal="left" vertical="center" wrapText="1" indent="1"/>
    </xf>
    <xf numFmtId="0" fontId="4" fillId="11" borderId="31" xfId="0" applyFont="1" applyFill="1" applyBorder="1" applyAlignment="1">
      <alignment horizontal="left" vertical="center" wrapText="1"/>
    </xf>
    <xf numFmtId="0" fontId="4" fillId="11" borderId="42" xfId="0" applyFont="1" applyFill="1" applyBorder="1" applyAlignment="1">
      <alignment horizontal="left" vertical="center" wrapText="1"/>
    </xf>
    <xf numFmtId="0" fontId="4" fillId="11" borderId="32" xfId="0" applyFont="1" applyFill="1" applyBorder="1" applyAlignment="1">
      <alignment horizontal="left" vertical="center" wrapText="1"/>
    </xf>
    <xf numFmtId="0" fontId="4" fillId="11" borderId="21" xfId="0" applyFont="1" applyFill="1" applyBorder="1" applyAlignment="1">
      <alignment horizontal="left" vertical="center" wrapText="1"/>
    </xf>
    <xf numFmtId="0" fontId="31" fillId="10" borderId="31" xfId="0" applyFont="1" applyFill="1" applyBorder="1" applyAlignment="1">
      <alignment horizontal="left" vertical="center"/>
    </xf>
    <xf numFmtId="0" fontId="31" fillId="10" borderId="32" xfId="0" applyFont="1" applyFill="1" applyBorder="1" applyAlignment="1">
      <alignment horizontal="left" vertical="center"/>
    </xf>
    <xf numFmtId="0" fontId="30" fillId="3" borderId="36" xfId="0" applyFont="1" applyFill="1" applyBorder="1" applyAlignment="1">
      <alignment horizontal="center" vertical="center" wrapText="1"/>
    </xf>
    <xf numFmtId="0" fontId="30" fillId="3" borderId="37" xfId="0" applyFont="1" applyFill="1" applyBorder="1" applyAlignment="1">
      <alignment horizontal="center" vertical="center" wrapText="1"/>
    </xf>
    <xf numFmtId="0" fontId="30" fillId="3" borderId="39" xfId="0" applyFont="1" applyFill="1" applyBorder="1" applyAlignment="1">
      <alignment horizontal="center" vertical="center" wrapText="1"/>
    </xf>
    <xf numFmtId="0" fontId="30" fillId="3" borderId="35" xfId="0" applyFont="1" applyFill="1" applyBorder="1" applyAlignment="1">
      <alignment horizontal="center" vertical="center" wrapText="1"/>
    </xf>
    <xf numFmtId="0" fontId="30" fillId="3" borderId="33" xfId="0" applyFont="1" applyFill="1" applyBorder="1" applyAlignment="1">
      <alignment horizontal="center" vertical="center" wrapText="1"/>
    </xf>
    <xf numFmtId="0" fontId="30" fillId="3" borderId="40" xfId="0" applyFont="1" applyFill="1" applyBorder="1" applyAlignment="1">
      <alignment horizontal="center" vertical="center" wrapText="1"/>
    </xf>
    <xf numFmtId="0" fontId="3" fillId="4" borderId="41" xfId="0" applyFont="1" applyFill="1" applyBorder="1" applyAlignment="1">
      <alignment horizontal="center" vertical="center" wrapText="1"/>
    </xf>
    <xf numFmtId="0" fontId="3" fillId="4" borderId="36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wrapText="1"/>
    </xf>
    <xf numFmtId="0" fontId="2" fillId="7" borderId="38" xfId="0" applyFont="1" applyFill="1" applyBorder="1" applyAlignment="1">
      <alignment horizontal="center" vertical="center" wrapText="1"/>
    </xf>
    <xf numFmtId="0" fontId="0" fillId="5" borderId="30" xfId="0" applyFill="1" applyBorder="1"/>
    <xf numFmtId="0" fontId="0" fillId="5" borderId="38" xfId="0" applyFill="1" applyBorder="1"/>
    <xf numFmtId="0" fontId="13" fillId="7" borderId="36" xfId="0" applyFont="1" applyFill="1" applyBorder="1" applyAlignment="1">
      <alignment horizontal="center" vertical="center" wrapText="1"/>
    </xf>
    <xf numFmtId="0" fontId="13" fillId="7" borderId="37" xfId="0" applyFont="1" applyFill="1" applyBorder="1" applyAlignment="1">
      <alignment horizontal="center" vertical="center" wrapText="1"/>
    </xf>
    <xf numFmtId="0" fontId="13" fillId="7" borderId="39" xfId="0" applyFont="1" applyFill="1" applyBorder="1" applyAlignment="1">
      <alignment horizontal="center" vertical="center" wrapText="1"/>
    </xf>
    <xf numFmtId="0" fontId="13" fillId="7" borderId="35" xfId="0" applyFont="1" applyFill="1" applyBorder="1" applyAlignment="1">
      <alignment horizontal="center" vertical="center" wrapText="1"/>
    </xf>
    <xf numFmtId="0" fontId="13" fillId="7" borderId="33" xfId="0" applyFont="1" applyFill="1" applyBorder="1" applyAlignment="1">
      <alignment horizontal="center" vertical="center" wrapText="1"/>
    </xf>
    <xf numFmtId="0" fontId="13" fillId="7" borderId="40" xfId="0" applyFont="1" applyFill="1" applyBorder="1" applyAlignment="1">
      <alignment horizontal="center" vertical="center" wrapText="1"/>
    </xf>
    <xf numFmtId="0" fontId="32" fillId="12" borderId="36" xfId="0" applyFont="1" applyFill="1" applyBorder="1" applyAlignment="1">
      <alignment horizontal="center" vertical="center" wrapText="1"/>
    </xf>
    <xf numFmtId="0" fontId="32" fillId="12" borderId="37" xfId="0" applyFont="1" applyFill="1" applyBorder="1" applyAlignment="1">
      <alignment horizontal="center" vertical="center" wrapText="1"/>
    </xf>
    <xf numFmtId="0" fontId="32" fillId="12" borderId="39" xfId="0" applyFont="1" applyFill="1" applyBorder="1" applyAlignment="1">
      <alignment horizontal="center" vertical="center" wrapText="1"/>
    </xf>
    <xf numFmtId="0" fontId="32" fillId="12" borderId="35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0" xfId="0" applyFont="1" applyFill="1" applyBorder="1" applyAlignment="1">
      <alignment horizontal="center" vertical="center" wrapText="1"/>
    </xf>
    <xf numFmtId="0" fontId="3" fillId="7" borderId="41" xfId="0" applyFont="1" applyFill="1" applyBorder="1" applyAlignment="1">
      <alignment horizontal="center" vertical="center" wrapText="1"/>
    </xf>
    <xf numFmtId="0" fontId="3" fillId="7" borderId="36" xfId="0" applyFont="1" applyFill="1" applyBorder="1" applyAlignment="1">
      <alignment horizontal="center" vertical="center" wrapText="1"/>
    </xf>
    <xf numFmtId="0" fontId="13" fillId="4" borderId="36" xfId="0" applyFont="1" applyFill="1" applyBorder="1" applyAlignment="1">
      <alignment horizontal="center" vertical="center" wrapText="1"/>
    </xf>
    <xf numFmtId="0" fontId="13" fillId="4" borderId="37" xfId="0" applyFont="1" applyFill="1" applyBorder="1" applyAlignment="1">
      <alignment horizontal="center" vertical="center" wrapText="1"/>
    </xf>
    <xf numFmtId="0" fontId="13" fillId="4" borderId="39" xfId="0" applyFont="1" applyFill="1" applyBorder="1" applyAlignment="1">
      <alignment horizontal="center" vertical="center" wrapText="1"/>
    </xf>
    <xf numFmtId="0" fontId="13" fillId="4" borderId="35" xfId="0" applyFont="1" applyFill="1" applyBorder="1" applyAlignment="1">
      <alignment horizontal="center" vertical="center" wrapText="1"/>
    </xf>
    <xf numFmtId="0" fontId="13" fillId="4" borderId="33" xfId="0" applyFont="1" applyFill="1" applyBorder="1" applyAlignment="1">
      <alignment horizontal="center" vertical="center" wrapText="1"/>
    </xf>
    <xf numFmtId="0" fontId="13" fillId="4" borderId="40" xfId="0" applyFont="1" applyFill="1" applyBorder="1" applyAlignment="1">
      <alignment horizontal="center" vertical="center" wrapText="1"/>
    </xf>
    <xf numFmtId="0" fontId="2" fillId="4" borderId="30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33" fillId="13" borderId="36" xfId="0" applyFont="1" applyFill="1" applyBorder="1" applyAlignment="1">
      <alignment horizontal="center" vertical="center" wrapText="1"/>
    </xf>
    <xf numFmtId="0" fontId="33" fillId="13" borderId="37" xfId="0" applyFont="1" applyFill="1" applyBorder="1" applyAlignment="1">
      <alignment horizontal="center" vertical="center" wrapText="1"/>
    </xf>
    <xf numFmtId="0" fontId="33" fillId="13" borderId="39" xfId="0" applyFont="1" applyFill="1" applyBorder="1" applyAlignment="1">
      <alignment horizontal="center" vertical="center" wrapText="1"/>
    </xf>
    <xf numFmtId="0" fontId="33" fillId="13" borderId="35" xfId="0" applyFont="1" applyFill="1" applyBorder="1" applyAlignment="1">
      <alignment horizontal="center" vertical="center" wrapText="1"/>
    </xf>
    <xf numFmtId="0" fontId="33" fillId="13" borderId="33" xfId="0" applyFont="1" applyFill="1" applyBorder="1" applyAlignment="1">
      <alignment horizontal="center" vertical="center" wrapText="1"/>
    </xf>
    <xf numFmtId="0" fontId="33" fillId="13" borderId="40" xfId="0" applyFont="1" applyFill="1" applyBorder="1" applyAlignment="1">
      <alignment horizontal="center" vertical="center" wrapText="1"/>
    </xf>
    <xf numFmtId="0" fontId="3" fillId="8" borderId="41" xfId="0" applyFont="1" applyFill="1" applyBorder="1" applyAlignment="1">
      <alignment horizontal="center" vertical="center" wrapText="1"/>
    </xf>
    <xf numFmtId="0" fontId="3" fillId="8" borderId="36" xfId="0" applyFont="1" applyFill="1" applyBorder="1" applyAlignment="1">
      <alignment horizontal="center" vertical="center" wrapText="1"/>
    </xf>
    <xf numFmtId="0" fontId="2" fillId="9" borderId="30" xfId="0" applyFont="1" applyFill="1" applyBorder="1" applyAlignment="1">
      <alignment horizontal="center" vertical="center" wrapText="1"/>
    </xf>
    <xf numFmtId="0" fontId="2" fillId="9" borderId="38" xfId="0" applyFont="1" applyFill="1" applyBorder="1" applyAlignment="1">
      <alignment horizontal="center" vertical="center" wrapText="1"/>
    </xf>
    <xf numFmtId="0" fontId="13" fillId="9" borderId="36" xfId="0" applyFont="1" applyFill="1" applyBorder="1" applyAlignment="1">
      <alignment horizontal="center" vertical="center" wrapText="1"/>
    </xf>
    <xf numFmtId="0" fontId="13" fillId="9" borderId="37" xfId="0" applyFont="1" applyFill="1" applyBorder="1" applyAlignment="1">
      <alignment horizontal="center" vertical="center" wrapText="1"/>
    </xf>
    <xf numFmtId="0" fontId="13" fillId="9" borderId="35" xfId="0" applyFont="1" applyFill="1" applyBorder="1" applyAlignment="1">
      <alignment horizontal="center" vertical="center" wrapText="1"/>
    </xf>
    <xf numFmtId="0" fontId="13" fillId="9" borderId="33" xfId="0" applyFont="1" applyFill="1" applyBorder="1" applyAlignment="1">
      <alignment horizontal="center" vertical="center" wrapText="1"/>
    </xf>
    <xf numFmtId="0" fontId="34" fillId="14" borderId="36" xfId="0" applyFont="1" applyFill="1" applyBorder="1" applyAlignment="1">
      <alignment horizontal="center" vertical="center" wrapText="1"/>
    </xf>
    <xf numFmtId="0" fontId="34" fillId="14" borderId="37" xfId="0" applyFont="1" applyFill="1" applyBorder="1" applyAlignment="1">
      <alignment horizontal="center" vertical="center" wrapText="1"/>
    </xf>
    <xf numFmtId="0" fontId="34" fillId="14" borderId="35" xfId="0" applyFont="1" applyFill="1" applyBorder="1" applyAlignment="1">
      <alignment horizontal="center" vertical="center" wrapText="1"/>
    </xf>
    <xf numFmtId="0" fontId="34" fillId="14" borderId="33" xfId="0" applyFont="1" applyFill="1" applyBorder="1" applyAlignment="1">
      <alignment horizontal="center" vertical="center" wrapText="1"/>
    </xf>
    <xf numFmtId="0" fontId="3" fillId="9" borderId="41" xfId="0" applyFont="1" applyFill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 wrapText="1"/>
    </xf>
    <xf numFmtId="0" fontId="2" fillId="8" borderId="30" xfId="0" applyFont="1" applyFill="1" applyBorder="1" applyAlignment="1">
      <alignment horizontal="center" vertical="center" wrapText="1"/>
    </xf>
    <xf numFmtId="0" fontId="2" fillId="8" borderId="38" xfId="0" applyFont="1" applyFill="1" applyBorder="1" applyAlignment="1">
      <alignment horizontal="center" vertical="center" wrapText="1"/>
    </xf>
    <xf numFmtId="0" fontId="13" fillId="8" borderId="36" xfId="0" applyFont="1" applyFill="1" applyBorder="1" applyAlignment="1">
      <alignment horizontal="center" vertical="center" wrapText="1"/>
    </xf>
    <xf numFmtId="0" fontId="13" fillId="8" borderId="37" xfId="0" applyFont="1" applyFill="1" applyBorder="1" applyAlignment="1">
      <alignment horizontal="center" vertical="center" wrapText="1"/>
    </xf>
    <xf numFmtId="0" fontId="13" fillId="8" borderId="39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 wrapText="1"/>
    </xf>
    <xf numFmtId="0" fontId="13" fillId="8" borderId="33" xfId="0" applyFont="1" applyFill="1" applyBorder="1" applyAlignment="1">
      <alignment horizontal="center" vertical="center" wrapText="1"/>
    </xf>
    <xf numFmtId="0" fontId="13" fillId="8" borderId="40" xfId="0" applyFont="1" applyFill="1" applyBorder="1" applyAlignment="1">
      <alignment horizontal="center" vertical="center" wrapText="1"/>
    </xf>
    <xf numFmtId="0" fontId="30" fillId="3" borderId="43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0" fontId="30" fillId="3" borderId="49" xfId="0" applyFont="1" applyFill="1" applyBorder="1" applyAlignment="1">
      <alignment horizontal="center" vertical="center" wrapText="1"/>
    </xf>
    <xf numFmtId="0" fontId="30" fillId="3" borderId="46" xfId="0" applyFont="1" applyFill="1" applyBorder="1" applyAlignment="1">
      <alignment horizontal="center" vertical="center" wrapText="1"/>
    </xf>
    <xf numFmtId="0" fontId="30" fillId="3" borderId="47" xfId="0" applyFont="1" applyFill="1" applyBorder="1" applyAlignment="1">
      <alignment horizontal="center" vertical="center" wrapText="1"/>
    </xf>
    <xf numFmtId="0" fontId="30" fillId="3" borderId="50" xfId="0" applyFont="1" applyFill="1" applyBorder="1" applyAlignment="1">
      <alignment horizontal="center" vertical="center" wrapText="1"/>
    </xf>
    <xf numFmtId="0" fontId="31" fillId="16" borderId="43" xfId="0" applyFont="1" applyFill="1" applyBorder="1" applyAlignment="1">
      <alignment horizontal="center" vertical="center"/>
    </xf>
    <xf numFmtId="0" fontId="31" fillId="16" borderId="0" xfId="0" applyFont="1" applyFill="1" applyAlignment="1">
      <alignment horizontal="center" vertical="center"/>
    </xf>
    <xf numFmtId="0" fontId="31" fillId="16" borderId="49" xfId="0" applyFont="1" applyFill="1" applyBorder="1" applyAlignment="1">
      <alignment horizontal="center" vertical="center"/>
    </xf>
    <xf numFmtId="0" fontId="29" fillId="15" borderId="23" xfId="0" applyFont="1" applyFill="1" applyBorder="1" applyAlignment="1">
      <alignment horizontal="left" vertical="top" wrapText="1"/>
    </xf>
    <xf numFmtId="0" fontId="29" fillId="15" borderId="24" xfId="0" applyFont="1" applyFill="1" applyBorder="1" applyAlignment="1">
      <alignment horizontal="left" vertical="top" wrapText="1"/>
    </xf>
    <xf numFmtId="0" fontId="29" fillId="15" borderId="27" xfId="0" applyFont="1" applyFill="1" applyBorder="1" applyAlignment="1">
      <alignment horizontal="left" vertical="top" wrapText="1"/>
    </xf>
    <xf numFmtId="0" fontId="29" fillId="15" borderId="22" xfId="0" applyFont="1" applyFill="1" applyBorder="1" applyAlignment="1">
      <alignment horizontal="left" vertical="top" wrapText="1"/>
    </xf>
    <xf numFmtId="0" fontId="29" fillId="15" borderId="0" xfId="0" applyFont="1" applyFill="1" applyAlignment="1">
      <alignment horizontal="left" vertical="top" wrapText="1"/>
    </xf>
    <xf numFmtId="0" fontId="29" fillId="15" borderId="28" xfId="0" applyFont="1" applyFill="1" applyBorder="1" applyAlignment="1">
      <alignment horizontal="left" vertical="top" wrapText="1"/>
    </xf>
    <xf numFmtId="0" fontId="29" fillId="15" borderId="25" xfId="0" applyFont="1" applyFill="1" applyBorder="1" applyAlignment="1">
      <alignment horizontal="left" vertical="top" wrapText="1"/>
    </xf>
    <xf numFmtId="0" fontId="29" fillId="15" borderId="26" xfId="0" applyFont="1" applyFill="1" applyBorder="1" applyAlignment="1">
      <alignment horizontal="left" vertical="top" wrapText="1"/>
    </xf>
    <xf numFmtId="0" fontId="29" fillId="15" borderId="29" xfId="0" applyFont="1" applyFill="1" applyBorder="1" applyAlignment="1">
      <alignment horizontal="left" vertical="top" wrapText="1"/>
    </xf>
    <xf numFmtId="0" fontId="35" fillId="4" borderId="44" xfId="0" applyFont="1" applyFill="1" applyBorder="1" applyAlignment="1">
      <alignment horizontal="center" vertical="center" wrapText="1"/>
    </xf>
    <xf numFmtId="0" fontId="35" fillId="4" borderId="45" xfId="0" applyFont="1" applyFill="1" applyBorder="1" applyAlignment="1">
      <alignment horizontal="center" vertical="center" wrapText="1"/>
    </xf>
    <xf numFmtId="0" fontId="35" fillId="4" borderId="48" xfId="0" applyFont="1" applyFill="1" applyBorder="1" applyAlignment="1">
      <alignment horizontal="center" vertical="center" wrapText="1"/>
    </xf>
    <xf numFmtId="0" fontId="35" fillId="4" borderId="43" xfId="0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 vertical="center" wrapText="1"/>
    </xf>
    <xf numFmtId="0" fontId="35" fillId="4" borderId="49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11" fillId="3" borderId="49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" fillId="2" borderId="51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1</xdr:row>
      <xdr:rowOff>25400</xdr:rowOff>
    </xdr:from>
    <xdr:to>
      <xdr:col>16</xdr:col>
      <xdr:colOff>644525</xdr:colOff>
      <xdr:row>2</xdr:row>
      <xdr:rowOff>250825</xdr:rowOff>
    </xdr:to>
    <xdr:sp macro="模块_总入口.一键全抓" textlink="">
      <xdr:nvSpPr>
        <xdr:cNvPr id="2" name="BtnRunAll">
          <a:extLst>
            <a:ext uri="{FF2B5EF4-FFF2-40B4-BE49-F238E27FC236}">
              <a16:creationId xmlns:a16="http://schemas.microsoft.com/office/drawing/2014/main" id="{2DEF45B3-0021-EC27-173A-416E2B4C2651}"/>
            </a:ext>
          </a:extLst>
        </xdr:cNvPr>
        <xdr:cNvSpPr/>
      </xdr:nvSpPr>
      <xdr:spPr>
        <a:xfrm>
          <a:off x="8623300" y="120650"/>
          <a:ext cx="2603500" cy="606425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一键全抓 </a:t>
          </a:r>
          <a:r>
            <a:rPr lang="en-US" altLang="zh-CN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 </a:t>
          </a:r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市场</a:t>
          </a:r>
        </a:p>
      </xdr:txBody>
    </xdr:sp>
    <xdr:clientData/>
  </xdr:twoCellAnchor>
  <xdr:twoCellAnchor>
    <xdr:from>
      <xdr:col>13</xdr:col>
      <xdr:colOff>12700</xdr:colOff>
      <xdr:row>3</xdr:row>
      <xdr:rowOff>25400</xdr:rowOff>
    </xdr:from>
    <xdr:to>
      <xdr:col>16</xdr:col>
      <xdr:colOff>644525</xdr:colOff>
      <xdr:row>4</xdr:row>
      <xdr:rowOff>250825</xdr:rowOff>
    </xdr:to>
    <xdr:sp macro="模块_总入口.一键跨市场指标表" textlink="">
      <xdr:nvSpPr>
        <xdr:cNvPr id="3" name="BtnBuildCrossInd">
          <a:extLst>
            <a:ext uri="{FF2B5EF4-FFF2-40B4-BE49-F238E27FC236}">
              <a16:creationId xmlns:a16="http://schemas.microsoft.com/office/drawing/2014/main" id="{AA948F5D-60EB-026F-72B0-D7F1C3CC1FFD}"/>
            </a:ext>
          </a:extLst>
        </xdr:cNvPr>
        <xdr:cNvSpPr/>
      </xdr:nvSpPr>
      <xdr:spPr>
        <a:xfrm>
          <a:off x="8623300" y="777875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0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一键抓取跨市场指标表</a:t>
          </a:r>
        </a:p>
      </xdr:txBody>
    </xdr:sp>
    <xdr:clientData/>
  </xdr:twoCellAnchor>
  <xdr:twoCellAnchor>
    <xdr:from>
      <xdr:col>13</xdr:col>
      <xdr:colOff>12700</xdr:colOff>
      <xdr:row>5</xdr:row>
      <xdr:rowOff>25400</xdr:rowOff>
    </xdr:from>
    <xdr:to>
      <xdr:col>16</xdr:col>
      <xdr:colOff>644525</xdr:colOff>
      <xdr:row>6</xdr:row>
      <xdr:rowOff>298450</xdr:rowOff>
    </xdr:to>
    <xdr:sp macro="模块_总入口.切换所有分市场tabs" textlink="">
      <xdr:nvSpPr>
        <xdr:cNvPr id="4" name="BtnHideAll">
          <a:extLst>
            <a:ext uri="{FF2B5EF4-FFF2-40B4-BE49-F238E27FC236}">
              <a16:creationId xmlns:a16="http://schemas.microsoft.com/office/drawing/2014/main" id="{107975E5-6F5C-F1B2-35D2-58D681E2A208}"/>
            </a:ext>
          </a:extLst>
        </xdr:cNvPr>
        <xdr:cNvSpPr/>
      </xdr:nvSpPr>
      <xdr:spPr>
        <a:xfrm>
          <a:off x="8623300" y="1330325"/>
          <a:ext cx="2603500" cy="54927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所有市场数据</a:t>
          </a:r>
        </a:p>
      </xdr:txBody>
    </xdr:sp>
    <xdr:clientData/>
  </xdr:twoCellAnchor>
  <xdr:twoCellAnchor>
    <xdr:from>
      <xdr:col>13</xdr:col>
      <xdr:colOff>12700</xdr:colOff>
      <xdr:row>7</xdr:row>
      <xdr:rowOff>25400</xdr:rowOff>
    </xdr:from>
    <xdr:to>
      <xdr:col>16</xdr:col>
      <xdr:colOff>644525</xdr:colOff>
      <xdr:row>8</xdr:row>
      <xdr:rowOff>279400</xdr:rowOff>
    </xdr:to>
    <xdr:sp macro="模块_总入口.一键清空所有数据" textlink="">
      <xdr:nvSpPr>
        <xdr:cNvPr id="5" name="BtnClearAllData">
          <a:extLst>
            <a:ext uri="{FF2B5EF4-FFF2-40B4-BE49-F238E27FC236}">
              <a16:creationId xmlns:a16="http://schemas.microsoft.com/office/drawing/2014/main" id="{1E2E4ABF-C108-D54A-56B3-3B24B47A39B1}"/>
            </a:ext>
          </a:extLst>
        </xdr:cNvPr>
        <xdr:cNvSpPr/>
      </xdr:nvSpPr>
      <xdr:spPr>
        <a:xfrm>
          <a:off x="8623300" y="1930400"/>
          <a:ext cx="2603500" cy="37782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一键清空所有数据</a:t>
          </a:r>
        </a:p>
      </xdr:txBody>
    </xdr:sp>
    <xdr:clientData/>
  </xdr:twoCellAnchor>
  <xdr:twoCellAnchor>
    <xdr:from>
      <xdr:col>13</xdr:col>
      <xdr:colOff>12700</xdr:colOff>
      <xdr:row>11</xdr:row>
      <xdr:rowOff>25400</xdr:rowOff>
    </xdr:from>
    <xdr:to>
      <xdr:col>16</xdr:col>
      <xdr:colOff>644525</xdr:colOff>
      <xdr:row>12</xdr:row>
      <xdr:rowOff>250825</xdr:rowOff>
    </xdr:to>
    <xdr:sp macro="模块_工具函数.ClearLocalCache" textlink="">
      <xdr:nvSpPr>
        <xdr:cNvPr id="6" name="BtnClearCache" descr="清除本地暂存的抓数结果。下次抓数会重新从公开数据来源取数,适合强制刷新或排查数据陈旧问题。日常无需点击。">
          <a:extLst>
            <a:ext uri="{FF2B5EF4-FFF2-40B4-BE49-F238E27FC236}">
              <a16:creationId xmlns:a16="http://schemas.microsoft.com/office/drawing/2014/main" id="{B09D3298-2F04-9D94-E817-03760F91A9A3}"/>
            </a:ext>
          </a:extLst>
        </xdr:cNvPr>
        <xdr:cNvSpPr/>
      </xdr:nvSpPr>
      <xdr:spPr>
        <a:xfrm>
          <a:off x="8623300" y="2940050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清空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HTTP 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缓存</a:t>
          </a:r>
        </a:p>
      </xdr:txBody>
    </xdr:sp>
    <xdr:clientData/>
  </xdr:twoCellAnchor>
  <xdr:twoCellAnchor>
    <xdr:from>
      <xdr:col>0</xdr:col>
      <xdr:colOff>12700</xdr:colOff>
      <xdr:row>8</xdr:row>
      <xdr:rowOff>25400</xdr:rowOff>
    </xdr:from>
    <xdr:to>
      <xdr:col>1</xdr:col>
      <xdr:colOff>1254125</xdr:colOff>
      <xdr:row>9</xdr:row>
      <xdr:rowOff>279400</xdr:rowOff>
    </xdr:to>
    <xdr:sp macro="模块_总入口.一键A股" textlink="">
      <xdr:nvSpPr>
        <xdr:cNvPr id="7" name="BtnRunA">
          <a:extLst>
            <a:ext uri="{FF2B5EF4-FFF2-40B4-BE49-F238E27FC236}">
              <a16:creationId xmlns:a16="http://schemas.microsoft.com/office/drawing/2014/main" id="{9AF3BBE8-7AB2-5EC7-8B0E-AEA850580B58}"/>
            </a:ext>
          </a:extLst>
        </xdr:cNvPr>
        <xdr:cNvSpPr/>
      </xdr:nvSpPr>
      <xdr:spPr>
        <a:xfrm>
          <a:off x="12700" y="2054225"/>
          <a:ext cx="2127250" cy="558800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</a:t>
          </a:r>
          <a:r>
            <a:rPr lang="en-US" altLang="zh-CN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 </a:t>
          </a:r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</a:t>
          </a:r>
        </a:p>
      </xdr:txBody>
    </xdr:sp>
    <xdr:clientData/>
  </xdr:twoCellAnchor>
  <xdr:twoCellAnchor>
    <xdr:from>
      <xdr:col>3</xdr:col>
      <xdr:colOff>12700</xdr:colOff>
      <xdr:row>8</xdr:row>
      <xdr:rowOff>25400</xdr:rowOff>
    </xdr:from>
    <xdr:to>
      <xdr:col>4</xdr:col>
      <xdr:colOff>1254125</xdr:colOff>
      <xdr:row>9</xdr:row>
      <xdr:rowOff>279400</xdr:rowOff>
    </xdr:to>
    <xdr:sp macro="模块_总入口.一键美股" textlink="">
      <xdr:nvSpPr>
        <xdr:cNvPr id="8" name="BtnRunUS">
          <a:extLst>
            <a:ext uri="{FF2B5EF4-FFF2-40B4-BE49-F238E27FC236}">
              <a16:creationId xmlns:a16="http://schemas.microsoft.com/office/drawing/2014/main" id="{3080235C-B5AE-FDE2-FD54-5429644D63D7}"/>
            </a:ext>
          </a:extLst>
        </xdr:cNvPr>
        <xdr:cNvSpPr/>
      </xdr:nvSpPr>
      <xdr:spPr>
        <a:xfrm>
          <a:off x="2165350" y="2054225"/>
          <a:ext cx="2127250" cy="558800"/>
        </a:xfrm>
        <a:prstGeom prst="round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美股</a:t>
          </a:r>
        </a:p>
      </xdr:txBody>
    </xdr:sp>
    <xdr:clientData/>
  </xdr:twoCellAnchor>
  <xdr:twoCellAnchor>
    <xdr:from>
      <xdr:col>6</xdr:col>
      <xdr:colOff>12700</xdr:colOff>
      <xdr:row>8</xdr:row>
      <xdr:rowOff>25400</xdr:rowOff>
    </xdr:from>
    <xdr:to>
      <xdr:col>7</xdr:col>
      <xdr:colOff>1254125</xdr:colOff>
      <xdr:row>9</xdr:row>
      <xdr:rowOff>279400</xdr:rowOff>
    </xdr:to>
    <xdr:sp macro="模块_总入口.一键港股" textlink="">
      <xdr:nvSpPr>
        <xdr:cNvPr id="9" name="BtnRunHK">
          <a:extLst>
            <a:ext uri="{FF2B5EF4-FFF2-40B4-BE49-F238E27FC236}">
              <a16:creationId xmlns:a16="http://schemas.microsoft.com/office/drawing/2014/main" id="{07FEE333-C4C7-1CF3-CA8F-D54C74576BA2}"/>
            </a:ext>
          </a:extLst>
        </xdr:cNvPr>
        <xdr:cNvSpPr/>
      </xdr:nvSpPr>
      <xdr:spPr>
        <a:xfrm>
          <a:off x="4318000" y="2054225"/>
          <a:ext cx="2127250" cy="558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港股</a:t>
          </a:r>
        </a:p>
      </xdr:txBody>
    </xdr:sp>
    <xdr:clientData/>
  </xdr:twoCellAnchor>
  <xdr:twoCellAnchor>
    <xdr:from>
      <xdr:col>9</xdr:col>
      <xdr:colOff>12700</xdr:colOff>
      <xdr:row>8</xdr:row>
      <xdr:rowOff>25400</xdr:rowOff>
    </xdr:from>
    <xdr:to>
      <xdr:col>10</xdr:col>
      <xdr:colOff>1254125</xdr:colOff>
      <xdr:row>9</xdr:row>
      <xdr:rowOff>279400</xdr:rowOff>
    </xdr:to>
    <xdr:sp macro="模块_总入口.一键韩股" textlink="">
      <xdr:nvSpPr>
        <xdr:cNvPr id="10" name="BtnRunKR">
          <a:extLst>
            <a:ext uri="{FF2B5EF4-FFF2-40B4-BE49-F238E27FC236}">
              <a16:creationId xmlns:a16="http://schemas.microsoft.com/office/drawing/2014/main" id="{F5A940EA-C129-298E-3882-DB7A59C12A9F}"/>
            </a:ext>
          </a:extLst>
        </xdr:cNvPr>
        <xdr:cNvSpPr/>
      </xdr:nvSpPr>
      <xdr:spPr>
        <a:xfrm>
          <a:off x="6470650" y="2054225"/>
          <a:ext cx="2127250" cy="558800"/>
        </a:xfrm>
        <a:prstGeom prst="roundRect">
          <a:avLst/>
        </a:prstGeom>
        <a:solidFill>
          <a:srgbClr val="7030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韩股</a:t>
          </a:r>
        </a:p>
      </xdr:txBody>
    </xdr:sp>
    <xdr:clientData/>
  </xdr:twoCellAnchor>
  <xdr:twoCellAnchor>
    <xdr:from>
      <xdr:col>0</xdr:col>
      <xdr:colOff>12700</xdr:colOff>
      <xdr:row>10</xdr:row>
      <xdr:rowOff>25400</xdr:rowOff>
    </xdr:from>
    <xdr:to>
      <xdr:col>1</xdr:col>
      <xdr:colOff>1254125</xdr:colOff>
      <xdr:row>11</xdr:row>
      <xdr:rowOff>250825</xdr:rowOff>
    </xdr:to>
    <xdr:sp macro="模块_总入口.切换A股tabs" textlink="">
      <xdr:nvSpPr>
        <xdr:cNvPr id="11" name="BtnHideA">
          <a:extLst>
            <a:ext uri="{FF2B5EF4-FFF2-40B4-BE49-F238E27FC236}">
              <a16:creationId xmlns:a16="http://schemas.microsoft.com/office/drawing/2014/main" id="{77399D9D-2291-9989-E412-94FA5AD46B36}"/>
            </a:ext>
          </a:extLst>
        </xdr:cNvPr>
        <xdr:cNvSpPr/>
      </xdr:nvSpPr>
      <xdr:spPr>
        <a:xfrm>
          <a:off x="12700" y="2663825"/>
          <a:ext cx="212725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股数据</a:t>
          </a:r>
        </a:p>
      </xdr:txBody>
    </xdr:sp>
    <xdr:clientData/>
  </xdr:twoCellAnchor>
  <xdr:twoCellAnchor>
    <xdr:from>
      <xdr:col>3</xdr:col>
      <xdr:colOff>12700</xdr:colOff>
      <xdr:row>10</xdr:row>
      <xdr:rowOff>25400</xdr:rowOff>
    </xdr:from>
    <xdr:to>
      <xdr:col>4</xdr:col>
      <xdr:colOff>1254125</xdr:colOff>
      <xdr:row>11</xdr:row>
      <xdr:rowOff>250825</xdr:rowOff>
    </xdr:to>
    <xdr:sp macro="模块_总入口.切换美股tabs" textlink="">
      <xdr:nvSpPr>
        <xdr:cNvPr id="12" name="BtnHideUS">
          <a:extLst>
            <a:ext uri="{FF2B5EF4-FFF2-40B4-BE49-F238E27FC236}">
              <a16:creationId xmlns:a16="http://schemas.microsoft.com/office/drawing/2014/main" id="{83948403-0D4F-31C7-1DAD-0CEEC17808C6}"/>
            </a:ext>
          </a:extLst>
        </xdr:cNvPr>
        <xdr:cNvSpPr/>
      </xdr:nvSpPr>
      <xdr:spPr>
        <a:xfrm>
          <a:off x="2165350" y="2663825"/>
          <a:ext cx="2127250" cy="501650"/>
        </a:xfrm>
        <a:prstGeom prst="roundRect">
          <a:avLst/>
        </a:prstGeom>
        <a:solidFill>
          <a:srgbClr val="FCE4E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美股数据</a:t>
          </a:r>
        </a:p>
      </xdr:txBody>
    </xdr:sp>
    <xdr:clientData/>
  </xdr:twoCellAnchor>
  <xdr:twoCellAnchor>
    <xdr:from>
      <xdr:col>6</xdr:col>
      <xdr:colOff>12700</xdr:colOff>
      <xdr:row>10</xdr:row>
      <xdr:rowOff>25400</xdr:rowOff>
    </xdr:from>
    <xdr:to>
      <xdr:col>7</xdr:col>
      <xdr:colOff>1254125</xdr:colOff>
      <xdr:row>11</xdr:row>
      <xdr:rowOff>250825</xdr:rowOff>
    </xdr:to>
    <xdr:sp macro="模块_总入口.切换港股tabs" textlink="">
      <xdr:nvSpPr>
        <xdr:cNvPr id="25" name="BtnHideHK">
          <a:extLst>
            <a:ext uri="{FF2B5EF4-FFF2-40B4-BE49-F238E27FC236}">
              <a16:creationId xmlns:a16="http://schemas.microsoft.com/office/drawing/2014/main" id="{B5DE5239-FAF5-8676-FF17-37BF59B4211F}"/>
            </a:ext>
          </a:extLst>
        </xdr:cNvPr>
        <xdr:cNvSpPr/>
      </xdr:nvSpPr>
      <xdr:spPr>
        <a:xfrm>
          <a:off x="4318000" y="2663825"/>
          <a:ext cx="2127250" cy="501650"/>
        </a:xfrm>
        <a:prstGeom prst="roundRect">
          <a:avLst/>
        </a:prstGeom>
        <a:solidFill>
          <a:srgbClr val="EAF4E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港股数据</a:t>
          </a:r>
        </a:p>
      </xdr:txBody>
    </xdr:sp>
    <xdr:clientData/>
  </xdr:twoCellAnchor>
  <xdr:twoCellAnchor>
    <xdr:from>
      <xdr:col>9</xdr:col>
      <xdr:colOff>12700</xdr:colOff>
      <xdr:row>10</xdr:row>
      <xdr:rowOff>25400</xdr:rowOff>
    </xdr:from>
    <xdr:to>
      <xdr:col>10</xdr:col>
      <xdr:colOff>1254125</xdr:colOff>
      <xdr:row>11</xdr:row>
      <xdr:rowOff>250825</xdr:rowOff>
    </xdr:to>
    <xdr:sp macro="模块_总入口.切换韩股tabs" textlink="">
      <xdr:nvSpPr>
        <xdr:cNvPr id="26" name="BtnHideKR">
          <a:extLst>
            <a:ext uri="{FF2B5EF4-FFF2-40B4-BE49-F238E27FC236}">
              <a16:creationId xmlns:a16="http://schemas.microsoft.com/office/drawing/2014/main" id="{132D684E-371A-0ACB-A9BC-E8E59D57F259}"/>
            </a:ext>
          </a:extLst>
        </xdr:cNvPr>
        <xdr:cNvSpPr/>
      </xdr:nvSpPr>
      <xdr:spPr>
        <a:xfrm>
          <a:off x="6470650" y="2663825"/>
          <a:ext cx="2127250" cy="501650"/>
        </a:xfrm>
        <a:prstGeom prst="roundRect">
          <a:avLst/>
        </a:prstGeom>
        <a:solidFill>
          <a:srgbClr val="EEE8F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韩股数据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76D4013-C01D-440D-A433-EA7482F5A162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bf81c5a-77df-4d56-8b71-323d6e270f8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4"/>
  <sheetViews>
    <sheetView workbookViewId="0">
      <pane ySplit="4" topLeftCell="A34" activePane="bottomLeft" state="frozenSplit"/>
      <selection pane="bottomLeft" activeCell="D85" sqref="D85"/>
    </sheetView>
  </sheetViews>
  <sheetFormatPr defaultRowHeight="18" customHeight="1" x14ac:dyDescent="0.3"/>
  <cols>
    <col min="1" max="1" width="4.625" style="21" customWidth="1"/>
    <col min="2" max="2" width="16.625" style="21" customWidth="1"/>
    <col min="3" max="3" width="86.625" style="21" customWidth="1"/>
    <col min="4" max="4" width="72.625" style="21" customWidth="1"/>
    <col min="5" max="8" width="18.625" style="21" customWidth="1"/>
    <col min="9" max="16384" width="9" style="21"/>
  </cols>
  <sheetData>
    <row r="1" spans="1:8" ht="38.1" customHeight="1" x14ac:dyDescent="0.3">
      <c r="A1" s="88" t="s">
        <v>481</v>
      </c>
      <c r="B1" s="88"/>
      <c r="C1" s="88"/>
      <c r="D1" s="88"/>
      <c r="E1" s="88"/>
      <c r="F1" s="88"/>
      <c r="G1" s="88"/>
      <c r="H1" s="88"/>
    </row>
    <row r="2" spans="1:8" ht="21.95" customHeight="1" x14ac:dyDescent="0.3">
      <c r="A2" s="89" t="s">
        <v>567</v>
      </c>
      <c r="B2" s="89"/>
      <c r="C2" s="89"/>
      <c r="D2" s="89"/>
      <c r="E2" s="89"/>
      <c r="F2" s="90" t="s">
        <v>568</v>
      </c>
      <c r="G2" s="90"/>
      <c r="H2" s="90"/>
    </row>
    <row r="3" spans="1:8" ht="20.100000000000001" customHeight="1" x14ac:dyDescent="0.3">
      <c r="A3" s="91" t="s">
        <v>569</v>
      </c>
      <c r="B3" s="91"/>
      <c r="C3" s="91"/>
      <c r="D3" s="91"/>
      <c r="E3" s="91"/>
      <c r="F3" s="91" t="s">
        <v>570</v>
      </c>
      <c r="G3" s="91"/>
      <c r="H3" s="91"/>
    </row>
    <row r="4" spans="1:8" ht="18" customHeight="1" x14ac:dyDescent="0.3">
      <c r="A4" s="22"/>
      <c r="B4" s="22"/>
      <c r="C4" s="22"/>
      <c r="D4" s="22"/>
      <c r="E4" s="22"/>
      <c r="F4" s="22"/>
      <c r="G4" s="22"/>
      <c r="H4" s="22"/>
    </row>
    <row r="5" spans="1:8" ht="18" customHeight="1" x14ac:dyDescent="0.3">
      <c r="A5" s="92" t="s">
        <v>571</v>
      </c>
      <c r="B5" s="92"/>
      <c r="C5" s="92"/>
      <c r="D5" s="92"/>
      <c r="E5" s="92"/>
      <c r="F5" s="92"/>
      <c r="G5" s="92"/>
      <c r="H5" s="92"/>
    </row>
    <row r="6" spans="1:8" ht="18" customHeight="1" x14ac:dyDescent="0.3">
      <c r="A6" s="22"/>
      <c r="B6" s="60" t="s">
        <v>431</v>
      </c>
      <c r="C6" s="60" t="s">
        <v>572</v>
      </c>
      <c r="D6" s="60"/>
      <c r="E6" s="22"/>
      <c r="F6" s="22"/>
      <c r="G6" s="22"/>
      <c r="H6" s="22"/>
    </row>
    <row r="7" spans="1:8" ht="18" customHeight="1" x14ac:dyDescent="0.3">
      <c r="A7" s="22"/>
      <c r="B7" s="60" t="s">
        <v>432</v>
      </c>
      <c r="C7" s="60" t="s">
        <v>573</v>
      </c>
      <c r="D7" s="60"/>
      <c r="E7" s="22"/>
      <c r="F7" s="22"/>
      <c r="G7" s="22"/>
      <c r="H7" s="22"/>
    </row>
    <row r="8" spans="1:8" ht="18" customHeight="1" x14ac:dyDescent="0.3">
      <c r="A8" s="22"/>
      <c r="B8" s="60" t="s">
        <v>433</v>
      </c>
      <c r="C8" s="60" t="s">
        <v>574</v>
      </c>
      <c r="D8" s="60"/>
      <c r="E8" s="22"/>
      <c r="F8" s="22"/>
      <c r="G8" s="22"/>
      <c r="H8" s="22"/>
    </row>
    <row r="9" spans="1:8" ht="18" customHeight="1" x14ac:dyDescent="0.3">
      <c r="A9" s="22"/>
      <c r="B9" s="60" t="s">
        <v>434</v>
      </c>
      <c r="C9" s="60" t="s">
        <v>575</v>
      </c>
      <c r="D9" s="60"/>
      <c r="E9" s="22"/>
      <c r="F9" s="22"/>
      <c r="G9" s="22"/>
      <c r="H9" s="22"/>
    </row>
    <row r="10" spans="1:8" ht="18" customHeight="1" x14ac:dyDescent="0.3">
      <c r="A10" s="22"/>
      <c r="B10" s="60" t="s">
        <v>435</v>
      </c>
      <c r="C10" s="60" t="s">
        <v>576</v>
      </c>
      <c r="D10" s="60"/>
      <c r="E10" s="22"/>
      <c r="F10" s="22"/>
      <c r="G10" s="22"/>
      <c r="H10" s="22"/>
    </row>
    <row r="11" spans="1:8" ht="18" customHeight="1" x14ac:dyDescent="0.3">
      <c r="A11" s="22"/>
      <c r="B11" s="60" t="s">
        <v>436</v>
      </c>
      <c r="C11" s="60" t="s">
        <v>577</v>
      </c>
      <c r="D11" s="60"/>
      <c r="E11" s="22"/>
      <c r="F11" s="22"/>
      <c r="G11" s="22"/>
      <c r="H11" s="22"/>
    </row>
    <row r="12" spans="1:8" ht="18" customHeight="1" x14ac:dyDescent="0.3">
      <c r="A12" s="22"/>
      <c r="B12" s="60" t="s">
        <v>437</v>
      </c>
      <c r="C12" s="60" t="s">
        <v>438</v>
      </c>
      <c r="D12" s="60"/>
      <c r="E12" s="22"/>
      <c r="F12" s="22"/>
      <c r="G12" s="22"/>
      <c r="H12" s="22"/>
    </row>
    <row r="13" spans="1:8" ht="18" customHeight="1" x14ac:dyDescent="0.3">
      <c r="A13" s="22"/>
      <c r="B13" s="60" t="s">
        <v>578</v>
      </c>
      <c r="C13" s="60" t="s">
        <v>579</v>
      </c>
      <c r="D13" s="60"/>
      <c r="E13" s="22"/>
      <c r="F13" s="22"/>
      <c r="G13" s="22"/>
      <c r="H13" s="22"/>
    </row>
    <row r="14" spans="1:8" ht="18" customHeight="1" x14ac:dyDescent="0.3">
      <c r="A14" s="22"/>
      <c r="B14" s="22"/>
      <c r="C14" s="22"/>
      <c r="D14" s="22"/>
      <c r="E14" s="22"/>
      <c r="F14" s="22"/>
      <c r="G14" s="22"/>
      <c r="H14" s="22"/>
    </row>
    <row r="15" spans="1:8" ht="24" customHeight="1" x14ac:dyDescent="0.3">
      <c r="A15" s="86" t="s">
        <v>580</v>
      </c>
      <c r="B15" s="86"/>
      <c r="C15" s="86"/>
      <c r="D15" s="86"/>
      <c r="E15" s="86"/>
      <c r="F15" s="86"/>
      <c r="G15" s="86"/>
      <c r="H15" s="86"/>
    </row>
    <row r="16" spans="1:8" ht="18" customHeight="1" x14ac:dyDescent="0.3">
      <c r="A16" s="22"/>
      <c r="B16" s="22"/>
      <c r="C16" s="22"/>
      <c r="D16" s="22"/>
      <c r="E16" s="22"/>
      <c r="F16" s="22"/>
      <c r="G16" s="22"/>
      <c r="H16" s="22"/>
    </row>
    <row r="17" spans="1:8" ht="44.1" customHeight="1" x14ac:dyDescent="0.3">
      <c r="A17" s="22"/>
      <c r="B17" s="87" t="s">
        <v>581</v>
      </c>
      <c r="C17" s="87"/>
      <c r="D17" s="87"/>
      <c r="E17" s="87"/>
      <c r="F17" s="87"/>
      <c r="G17" s="87"/>
      <c r="H17" s="87"/>
    </row>
    <row r="18" spans="1:8" ht="32.1" customHeight="1" x14ac:dyDescent="0.3">
      <c r="A18" s="22"/>
      <c r="B18" s="87" t="s">
        <v>582</v>
      </c>
      <c r="C18" s="87"/>
      <c r="D18" s="87"/>
      <c r="E18" s="87"/>
      <c r="F18" s="87"/>
      <c r="G18" s="87"/>
      <c r="H18" s="87"/>
    </row>
    <row r="19" spans="1:8" ht="20.100000000000001" customHeight="1" x14ac:dyDescent="0.3">
      <c r="A19" s="22"/>
      <c r="B19" s="61" t="s">
        <v>439</v>
      </c>
      <c r="C19" s="61" t="s">
        <v>583</v>
      </c>
      <c r="D19" s="61" t="s">
        <v>584</v>
      </c>
      <c r="E19" s="22"/>
      <c r="F19" s="22"/>
      <c r="G19" s="22"/>
      <c r="H19" s="22"/>
    </row>
    <row r="20" spans="1:8" ht="20.100000000000001" customHeight="1" x14ac:dyDescent="0.3">
      <c r="A20" s="22"/>
      <c r="B20" s="60" t="s">
        <v>585</v>
      </c>
      <c r="C20" s="60" t="s">
        <v>586</v>
      </c>
      <c r="D20" s="60" t="s">
        <v>587</v>
      </c>
      <c r="E20" s="22"/>
      <c r="F20" s="22"/>
      <c r="G20" s="22"/>
      <c r="H20" s="22"/>
    </row>
    <row r="21" spans="1:8" ht="20.100000000000001" customHeight="1" x14ac:dyDescent="0.3">
      <c r="A21" s="22"/>
      <c r="B21" s="60" t="s">
        <v>440</v>
      </c>
      <c r="C21" s="60" t="s">
        <v>588</v>
      </c>
      <c r="D21" s="60" t="s">
        <v>589</v>
      </c>
      <c r="E21" s="22"/>
      <c r="F21" s="22"/>
      <c r="G21" s="22"/>
      <c r="H21" s="22"/>
    </row>
    <row r="22" spans="1:8" ht="20.100000000000001" customHeight="1" x14ac:dyDescent="0.3">
      <c r="A22" s="22"/>
      <c r="B22" s="60" t="s">
        <v>441</v>
      </c>
      <c r="C22" s="60" t="s">
        <v>590</v>
      </c>
      <c r="D22" s="60" t="s">
        <v>486</v>
      </c>
      <c r="E22" s="22"/>
      <c r="F22" s="22"/>
      <c r="G22" s="22"/>
      <c r="H22" s="22"/>
    </row>
    <row r="23" spans="1:8" ht="20.100000000000001" customHeight="1" x14ac:dyDescent="0.3">
      <c r="A23" s="22"/>
      <c r="B23" s="60" t="s">
        <v>442</v>
      </c>
      <c r="C23" s="60" t="s">
        <v>591</v>
      </c>
      <c r="D23" s="60" t="s">
        <v>592</v>
      </c>
      <c r="E23" s="22"/>
      <c r="F23" s="22"/>
      <c r="G23" s="22"/>
      <c r="H23" s="22"/>
    </row>
    <row r="24" spans="1:8" ht="18" customHeight="1" x14ac:dyDescent="0.3">
      <c r="A24" s="22"/>
      <c r="B24" s="22"/>
      <c r="C24" s="22"/>
      <c r="D24" s="22"/>
      <c r="E24" s="22"/>
      <c r="F24" s="22"/>
      <c r="G24" s="22"/>
      <c r="H24" s="22"/>
    </row>
    <row r="25" spans="1:8" ht="24" customHeight="1" x14ac:dyDescent="0.3">
      <c r="A25" s="86" t="s">
        <v>593</v>
      </c>
      <c r="B25" s="86"/>
      <c r="C25" s="86"/>
      <c r="D25" s="86"/>
      <c r="E25" s="86"/>
      <c r="F25" s="86"/>
      <c r="G25" s="86"/>
      <c r="H25" s="86"/>
    </row>
    <row r="26" spans="1:8" ht="18" customHeight="1" x14ac:dyDescent="0.3">
      <c r="A26" s="22"/>
      <c r="B26" s="22"/>
      <c r="C26" s="22"/>
      <c r="D26" s="22"/>
      <c r="E26" s="22"/>
      <c r="F26" s="22"/>
      <c r="G26" s="22"/>
      <c r="H26" s="22"/>
    </row>
    <row r="27" spans="1:8" ht="20.100000000000001" customHeight="1" x14ac:dyDescent="0.3">
      <c r="A27" s="22"/>
      <c r="B27" s="61" t="s">
        <v>443</v>
      </c>
      <c r="C27" s="61" t="s">
        <v>594</v>
      </c>
      <c r="D27" s="61" t="s">
        <v>446</v>
      </c>
      <c r="E27" s="22"/>
      <c r="F27" s="22"/>
      <c r="G27" s="22"/>
      <c r="H27" s="22"/>
    </row>
    <row r="28" spans="1:8" ht="20.100000000000001" customHeight="1" x14ac:dyDescent="0.3">
      <c r="A28" s="22"/>
      <c r="B28" s="60">
        <v>1</v>
      </c>
      <c r="C28" s="60" t="s">
        <v>595</v>
      </c>
      <c r="D28" s="60" t="s">
        <v>596</v>
      </c>
      <c r="E28" s="22"/>
      <c r="F28" s="22"/>
      <c r="G28" s="22"/>
      <c r="H28" s="22"/>
    </row>
    <row r="29" spans="1:8" ht="20.100000000000001" customHeight="1" x14ac:dyDescent="0.3">
      <c r="A29" s="22"/>
      <c r="B29" s="60">
        <v>2</v>
      </c>
      <c r="C29" s="60" t="s">
        <v>597</v>
      </c>
      <c r="D29" s="60" t="s">
        <v>598</v>
      </c>
      <c r="E29" s="22"/>
      <c r="F29" s="22"/>
      <c r="G29" s="22"/>
      <c r="H29" s="22"/>
    </row>
    <row r="30" spans="1:8" ht="20.100000000000001" customHeight="1" x14ac:dyDescent="0.3">
      <c r="A30" s="22"/>
      <c r="B30" s="60">
        <v>3</v>
      </c>
      <c r="C30" s="60" t="s">
        <v>599</v>
      </c>
      <c r="D30" s="60" t="s">
        <v>600</v>
      </c>
      <c r="E30" s="22"/>
      <c r="F30" s="22"/>
      <c r="G30" s="22"/>
      <c r="H30" s="22"/>
    </row>
    <row r="31" spans="1:8" ht="20.100000000000001" customHeight="1" x14ac:dyDescent="0.3">
      <c r="A31" s="22"/>
      <c r="B31" s="60">
        <v>4</v>
      </c>
      <c r="C31" s="60" t="s">
        <v>601</v>
      </c>
      <c r="D31" s="60" t="s">
        <v>602</v>
      </c>
      <c r="E31" s="22"/>
      <c r="F31" s="22"/>
      <c r="G31" s="22"/>
      <c r="H31" s="22"/>
    </row>
    <row r="32" spans="1:8" ht="20.100000000000001" customHeight="1" x14ac:dyDescent="0.3">
      <c r="A32" s="22"/>
      <c r="B32" s="60">
        <v>5</v>
      </c>
      <c r="C32" s="60" t="s">
        <v>603</v>
      </c>
      <c r="D32" s="60" t="s">
        <v>604</v>
      </c>
      <c r="E32" s="22"/>
      <c r="F32" s="22"/>
      <c r="G32" s="22"/>
      <c r="H32" s="22"/>
    </row>
    <row r="33" spans="1:8" ht="18" customHeight="1" x14ac:dyDescent="0.3">
      <c r="A33" s="22"/>
      <c r="B33" s="22"/>
      <c r="C33" s="22"/>
      <c r="D33" s="22"/>
      <c r="E33" s="22"/>
      <c r="F33" s="22"/>
      <c r="G33" s="22"/>
      <c r="H33" s="22"/>
    </row>
    <row r="34" spans="1:8" ht="24" customHeight="1" x14ac:dyDescent="0.3">
      <c r="A34" s="86" t="s">
        <v>605</v>
      </c>
      <c r="B34" s="86"/>
      <c r="C34" s="86"/>
      <c r="D34" s="86"/>
      <c r="E34" s="86"/>
      <c r="F34" s="86"/>
      <c r="G34" s="86"/>
      <c r="H34" s="86"/>
    </row>
    <row r="35" spans="1:8" ht="18" customHeight="1" x14ac:dyDescent="0.3">
      <c r="A35" s="22"/>
      <c r="B35" s="22"/>
      <c r="C35" s="22"/>
      <c r="D35" s="22"/>
      <c r="E35" s="22"/>
      <c r="F35" s="22"/>
      <c r="G35" s="22"/>
      <c r="H35" s="22"/>
    </row>
    <row r="36" spans="1:8" ht="20.100000000000001" customHeight="1" x14ac:dyDescent="0.3">
      <c r="A36" s="22"/>
      <c r="B36" s="61" t="s">
        <v>606</v>
      </c>
      <c r="C36" s="61" t="s">
        <v>607</v>
      </c>
      <c r="D36" s="61" t="s">
        <v>444</v>
      </c>
      <c r="E36" s="22"/>
      <c r="F36" s="22"/>
      <c r="G36" s="22"/>
      <c r="H36" s="22"/>
    </row>
    <row r="37" spans="1:8" ht="20.100000000000001" customHeight="1" x14ac:dyDescent="0.3">
      <c r="A37" s="22"/>
      <c r="B37" s="60" t="s">
        <v>487</v>
      </c>
      <c r="C37" s="60" t="s">
        <v>608</v>
      </c>
      <c r="D37" s="60" t="s">
        <v>609</v>
      </c>
      <c r="E37" s="22"/>
      <c r="F37" s="22"/>
      <c r="G37" s="22"/>
      <c r="H37" s="22"/>
    </row>
    <row r="38" spans="1:8" ht="20.100000000000001" customHeight="1" x14ac:dyDescent="0.3">
      <c r="A38" s="22"/>
      <c r="B38" s="60" t="s">
        <v>445</v>
      </c>
      <c r="C38" s="60" t="s">
        <v>608</v>
      </c>
      <c r="D38" s="60" t="s">
        <v>610</v>
      </c>
      <c r="E38" s="22"/>
      <c r="F38" s="22"/>
      <c r="G38" s="22"/>
      <c r="H38" s="22"/>
    </row>
    <row r="39" spans="1:8" ht="20.100000000000001" customHeight="1" x14ac:dyDescent="0.3">
      <c r="A39" s="22"/>
      <c r="B39" s="60" t="s">
        <v>611</v>
      </c>
      <c r="C39" s="60" t="s">
        <v>608</v>
      </c>
      <c r="D39" s="60" t="s">
        <v>612</v>
      </c>
      <c r="E39" s="22"/>
      <c r="F39" s="22"/>
      <c r="G39" s="22"/>
      <c r="H39" s="22"/>
    </row>
    <row r="40" spans="1:8" ht="20.100000000000001" customHeight="1" x14ac:dyDescent="0.3">
      <c r="A40" s="22"/>
      <c r="B40" s="60" t="s">
        <v>488</v>
      </c>
      <c r="C40" s="60" t="s">
        <v>613</v>
      </c>
      <c r="D40" s="60" t="s">
        <v>614</v>
      </c>
      <c r="E40" s="22"/>
      <c r="F40" s="22"/>
      <c r="G40" s="22"/>
      <c r="H40" s="22"/>
    </row>
    <row r="41" spans="1:8" ht="20.100000000000001" customHeight="1" x14ac:dyDescent="0.3">
      <c r="A41" s="22"/>
      <c r="B41" s="60" t="s">
        <v>447</v>
      </c>
      <c r="C41" s="60" t="s">
        <v>608</v>
      </c>
      <c r="D41" s="60" t="s">
        <v>615</v>
      </c>
      <c r="E41" s="22"/>
      <c r="F41" s="22"/>
      <c r="G41" s="22"/>
      <c r="H41" s="22"/>
    </row>
    <row r="42" spans="1:8" ht="18" customHeight="1" x14ac:dyDescent="0.3">
      <c r="A42" s="22"/>
      <c r="B42" s="22"/>
      <c r="C42" s="22"/>
      <c r="D42" s="22"/>
      <c r="E42" s="22"/>
      <c r="F42" s="22"/>
      <c r="G42" s="22"/>
      <c r="H42" s="22"/>
    </row>
    <row r="43" spans="1:8" ht="24" customHeight="1" x14ac:dyDescent="0.3">
      <c r="A43" s="86" t="s">
        <v>616</v>
      </c>
      <c r="B43" s="86"/>
      <c r="C43" s="86"/>
      <c r="D43" s="86"/>
      <c r="E43" s="86"/>
      <c r="F43" s="86"/>
      <c r="G43" s="86"/>
      <c r="H43" s="86"/>
    </row>
    <row r="44" spans="1:8" ht="18" customHeight="1" x14ac:dyDescent="0.3">
      <c r="A44" s="22"/>
      <c r="B44" s="22"/>
      <c r="C44" s="22"/>
      <c r="D44" s="22"/>
      <c r="E44" s="22"/>
      <c r="F44" s="22"/>
      <c r="G44" s="22"/>
      <c r="H44" s="22"/>
    </row>
    <row r="45" spans="1:8" ht="20.100000000000001" customHeight="1" x14ac:dyDescent="0.3">
      <c r="A45" s="22"/>
      <c r="B45" s="61" t="s">
        <v>617</v>
      </c>
      <c r="C45" s="61" t="s">
        <v>618</v>
      </c>
      <c r="D45" s="22"/>
      <c r="E45" s="22"/>
      <c r="F45" s="22"/>
      <c r="G45" s="22"/>
      <c r="H45" s="22"/>
    </row>
    <row r="46" spans="1:8" ht="20.100000000000001" customHeight="1" x14ac:dyDescent="0.3">
      <c r="A46" s="22"/>
      <c r="B46" s="60" t="s">
        <v>619</v>
      </c>
      <c r="C46" s="60" t="s">
        <v>620</v>
      </c>
      <c r="D46" s="22"/>
      <c r="E46" s="22"/>
      <c r="F46" s="22"/>
      <c r="G46" s="22"/>
      <c r="H46" s="22"/>
    </row>
    <row r="47" spans="1:8" ht="20.100000000000001" customHeight="1" x14ac:dyDescent="0.3">
      <c r="A47" s="22"/>
      <c r="B47" s="60" t="s">
        <v>621</v>
      </c>
      <c r="C47" s="60" t="s">
        <v>622</v>
      </c>
      <c r="D47" s="22"/>
      <c r="E47" s="22"/>
      <c r="F47" s="22"/>
      <c r="G47" s="22"/>
      <c r="H47" s="22"/>
    </row>
    <row r="48" spans="1:8" ht="20.100000000000001" customHeight="1" x14ac:dyDescent="0.3">
      <c r="A48" s="22"/>
      <c r="B48" s="60" t="s">
        <v>623</v>
      </c>
      <c r="C48" s="60" t="s">
        <v>624</v>
      </c>
      <c r="D48" s="22"/>
      <c r="E48" s="22"/>
      <c r="F48" s="22"/>
      <c r="G48" s="22"/>
      <c r="H48" s="22"/>
    </row>
    <row r="49" spans="1:8" ht="20.100000000000001" customHeight="1" x14ac:dyDescent="0.3">
      <c r="A49" s="22"/>
      <c r="B49" s="60" t="s">
        <v>625</v>
      </c>
      <c r="C49" s="60" t="s">
        <v>626</v>
      </c>
      <c r="D49" s="22"/>
      <c r="E49" s="22"/>
      <c r="F49" s="22"/>
      <c r="G49" s="22"/>
      <c r="H49" s="22"/>
    </row>
    <row r="50" spans="1:8" ht="20.100000000000001" customHeight="1" x14ac:dyDescent="0.3">
      <c r="A50" s="22"/>
      <c r="B50" s="60" t="s">
        <v>447</v>
      </c>
      <c r="C50" s="60" t="s">
        <v>627</v>
      </c>
      <c r="D50" s="22"/>
      <c r="E50" s="22"/>
      <c r="F50" s="22"/>
      <c r="G50" s="22"/>
      <c r="H50" s="22"/>
    </row>
    <row r="51" spans="1:8" ht="18" customHeight="1" x14ac:dyDescent="0.3">
      <c r="A51" s="22"/>
      <c r="B51" s="22"/>
      <c r="C51" s="22"/>
      <c r="D51" s="22"/>
      <c r="E51" s="22"/>
      <c r="F51" s="22"/>
      <c r="G51" s="22"/>
      <c r="H51" s="22"/>
    </row>
    <row r="52" spans="1:8" ht="44.1" customHeight="1" x14ac:dyDescent="0.3">
      <c r="A52" s="22"/>
      <c r="B52" s="87" t="s">
        <v>628</v>
      </c>
      <c r="C52" s="87"/>
      <c r="D52" s="87"/>
      <c r="E52" s="87"/>
      <c r="F52" s="87"/>
      <c r="G52" s="87"/>
      <c r="H52" s="87"/>
    </row>
    <row r="53" spans="1:8" ht="24" customHeight="1" x14ac:dyDescent="0.3">
      <c r="A53" s="86" t="s">
        <v>629</v>
      </c>
      <c r="B53" s="86"/>
      <c r="C53" s="86"/>
      <c r="D53" s="86"/>
      <c r="E53" s="86"/>
      <c r="F53" s="86"/>
      <c r="G53" s="86"/>
      <c r="H53" s="86"/>
    </row>
    <row r="54" spans="1:8" ht="18" customHeight="1" x14ac:dyDescent="0.3">
      <c r="A54" s="22"/>
      <c r="B54" s="22"/>
      <c r="C54" s="22"/>
      <c r="D54" s="22"/>
      <c r="E54" s="22"/>
      <c r="F54" s="22"/>
      <c r="G54" s="22"/>
      <c r="H54" s="22"/>
    </row>
    <row r="55" spans="1:8" ht="20.100000000000001" customHeight="1" x14ac:dyDescent="0.3">
      <c r="A55" s="22"/>
      <c r="B55" s="61" t="s">
        <v>448</v>
      </c>
      <c r="C55" s="61" t="s">
        <v>446</v>
      </c>
      <c r="D55" s="22"/>
      <c r="E55" s="22"/>
      <c r="F55" s="22"/>
      <c r="G55" s="22"/>
      <c r="H55" s="22"/>
    </row>
    <row r="56" spans="1:8" ht="20.100000000000001" customHeight="1" x14ac:dyDescent="0.3">
      <c r="A56" s="22"/>
      <c r="B56" s="60" t="s">
        <v>494</v>
      </c>
      <c r="C56" s="60" t="s">
        <v>630</v>
      </c>
      <c r="D56" s="22"/>
      <c r="E56" s="22"/>
      <c r="F56" s="22"/>
      <c r="G56" s="22"/>
      <c r="H56" s="22"/>
    </row>
    <row r="57" spans="1:8" ht="20.100000000000001" customHeight="1" x14ac:dyDescent="0.3">
      <c r="A57" s="22"/>
      <c r="B57" s="60" t="s">
        <v>495</v>
      </c>
      <c r="C57" s="60" t="s">
        <v>631</v>
      </c>
      <c r="D57" s="22"/>
      <c r="E57" s="22"/>
      <c r="F57" s="22"/>
      <c r="G57" s="22"/>
      <c r="H57" s="22"/>
    </row>
    <row r="58" spans="1:8" ht="20.100000000000001" customHeight="1" x14ac:dyDescent="0.3">
      <c r="A58" s="22"/>
      <c r="B58" s="60" t="s">
        <v>632</v>
      </c>
      <c r="C58" s="60" t="s">
        <v>633</v>
      </c>
      <c r="D58" s="22"/>
      <c r="E58" s="22"/>
      <c r="F58" s="22"/>
      <c r="G58" s="22"/>
      <c r="H58" s="22"/>
    </row>
    <row r="59" spans="1:8" ht="20.100000000000001" customHeight="1" x14ac:dyDescent="0.3">
      <c r="A59" s="22"/>
      <c r="B59" s="60" t="s">
        <v>634</v>
      </c>
      <c r="C59" s="60" t="s">
        <v>635</v>
      </c>
      <c r="D59" s="22"/>
      <c r="E59" s="22"/>
      <c r="F59" s="22"/>
      <c r="G59" s="22"/>
      <c r="H59" s="22"/>
    </row>
    <row r="60" spans="1:8" ht="20.100000000000001" customHeight="1" x14ac:dyDescent="0.3">
      <c r="A60" s="22"/>
      <c r="B60" s="60" t="s">
        <v>636</v>
      </c>
      <c r="C60" s="60" t="s">
        <v>637</v>
      </c>
      <c r="D60" s="22"/>
      <c r="E60" s="22"/>
      <c r="F60" s="22"/>
      <c r="G60" s="22"/>
      <c r="H60" s="22"/>
    </row>
    <row r="61" spans="1:8" ht="18" customHeight="1" x14ac:dyDescent="0.3">
      <c r="A61" s="22"/>
      <c r="B61" s="22"/>
      <c r="C61" s="22"/>
      <c r="D61" s="22"/>
      <c r="E61" s="22"/>
      <c r="F61" s="22"/>
      <c r="G61" s="22"/>
      <c r="H61" s="22"/>
    </row>
    <row r="62" spans="1:8" ht="24" customHeight="1" x14ac:dyDescent="0.3">
      <c r="A62" s="86" t="s">
        <v>638</v>
      </c>
      <c r="B62" s="86"/>
      <c r="C62" s="86"/>
      <c r="D62" s="86"/>
      <c r="E62" s="86"/>
      <c r="F62" s="86"/>
      <c r="G62" s="86"/>
      <c r="H62" s="86"/>
    </row>
    <row r="63" spans="1:8" ht="18" customHeight="1" x14ac:dyDescent="0.3">
      <c r="A63" s="22"/>
      <c r="B63" s="22"/>
      <c r="C63" s="22"/>
      <c r="D63" s="22"/>
      <c r="E63" s="22"/>
      <c r="F63" s="22"/>
      <c r="G63" s="22"/>
      <c r="H63" s="22"/>
    </row>
    <row r="64" spans="1:8" ht="20.100000000000001" customHeight="1" x14ac:dyDescent="0.3">
      <c r="A64" s="22"/>
      <c r="B64" s="61" t="s">
        <v>639</v>
      </c>
      <c r="C64" s="61" t="s">
        <v>449</v>
      </c>
      <c r="D64" s="61" t="s">
        <v>640</v>
      </c>
      <c r="E64" s="22"/>
      <c r="F64" s="22"/>
      <c r="G64" s="22"/>
      <c r="H64" s="22"/>
    </row>
    <row r="65" spans="1:8" ht="20.100000000000001" customHeight="1" x14ac:dyDescent="0.3">
      <c r="A65" s="22"/>
      <c r="B65" s="60" t="s">
        <v>641</v>
      </c>
      <c r="C65" s="60" t="s">
        <v>642</v>
      </c>
      <c r="D65" s="60" t="s">
        <v>643</v>
      </c>
      <c r="E65" s="22"/>
      <c r="F65" s="22"/>
      <c r="G65" s="22"/>
      <c r="H65" s="22"/>
    </row>
    <row r="66" spans="1:8" ht="20.100000000000001" customHeight="1" x14ac:dyDescent="0.3">
      <c r="A66" s="22"/>
      <c r="B66" s="60" t="s">
        <v>644</v>
      </c>
      <c r="C66" s="60" t="s">
        <v>645</v>
      </c>
      <c r="D66" s="60" t="s">
        <v>646</v>
      </c>
      <c r="E66" s="22"/>
      <c r="F66" s="22"/>
      <c r="G66" s="22"/>
      <c r="H66" s="22"/>
    </row>
    <row r="67" spans="1:8" ht="20.100000000000001" customHeight="1" x14ac:dyDescent="0.3">
      <c r="A67" s="22"/>
      <c r="B67" s="60" t="s">
        <v>647</v>
      </c>
      <c r="C67" s="60" t="s">
        <v>648</v>
      </c>
      <c r="D67" s="60" t="s">
        <v>649</v>
      </c>
      <c r="E67" s="22"/>
      <c r="F67" s="22"/>
      <c r="G67" s="22"/>
      <c r="H67" s="22"/>
    </row>
    <row r="68" spans="1:8" ht="20.100000000000001" customHeight="1" x14ac:dyDescent="0.3">
      <c r="A68" s="22"/>
      <c r="B68" s="60" t="s">
        <v>501</v>
      </c>
      <c r="C68" s="60" t="s">
        <v>650</v>
      </c>
      <c r="D68" s="60" t="s">
        <v>651</v>
      </c>
      <c r="E68" s="22"/>
      <c r="F68" s="22"/>
      <c r="G68" s="22"/>
      <c r="H68" s="22"/>
    </row>
    <row r="69" spans="1:8" ht="20.100000000000001" customHeight="1" x14ac:dyDescent="0.3">
      <c r="A69" s="22"/>
      <c r="B69" s="60" t="s">
        <v>652</v>
      </c>
      <c r="C69" s="60" t="s">
        <v>653</v>
      </c>
      <c r="D69" s="60" t="s">
        <v>654</v>
      </c>
      <c r="E69" s="22"/>
      <c r="F69" s="22"/>
      <c r="G69" s="22"/>
      <c r="H69" s="22"/>
    </row>
    <row r="70" spans="1:8" ht="20.100000000000001" customHeight="1" x14ac:dyDescent="0.3">
      <c r="A70" s="22"/>
      <c r="B70" s="60" t="s">
        <v>655</v>
      </c>
      <c r="C70" s="60" t="s">
        <v>656</v>
      </c>
      <c r="D70" s="60" t="s">
        <v>657</v>
      </c>
      <c r="E70" s="22"/>
      <c r="F70" s="22"/>
      <c r="G70" s="22"/>
      <c r="H70" s="22"/>
    </row>
    <row r="71" spans="1:8" ht="20.100000000000001" customHeight="1" x14ac:dyDescent="0.3">
      <c r="A71" s="22"/>
      <c r="B71" s="60" t="s">
        <v>658</v>
      </c>
      <c r="C71" s="60" t="s">
        <v>659</v>
      </c>
      <c r="D71" s="60" t="s">
        <v>660</v>
      </c>
      <c r="E71" s="22"/>
      <c r="F71" s="22"/>
      <c r="G71" s="22"/>
      <c r="H71" s="22"/>
    </row>
    <row r="72" spans="1:8" ht="20.100000000000001" customHeight="1" x14ac:dyDescent="0.3">
      <c r="A72" s="22"/>
      <c r="B72" s="60" t="s">
        <v>661</v>
      </c>
      <c r="C72" s="60" t="s">
        <v>662</v>
      </c>
      <c r="D72" s="60" t="s">
        <v>663</v>
      </c>
      <c r="E72" s="22"/>
      <c r="F72" s="22"/>
      <c r="G72" s="22"/>
      <c r="H72" s="22"/>
    </row>
    <row r="73" spans="1:8" ht="18" customHeight="1" x14ac:dyDescent="0.3">
      <c r="A73" s="22"/>
      <c r="B73" s="22"/>
      <c r="C73" s="22"/>
      <c r="D73" s="22"/>
      <c r="E73" s="22"/>
      <c r="F73" s="22"/>
      <c r="G73" s="22"/>
      <c r="H73" s="22"/>
    </row>
    <row r="74" spans="1:8" ht="24" customHeight="1" x14ac:dyDescent="0.3">
      <c r="A74" s="86" t="s">
        <v>482</v>
      </c>
      <c r="B74" s="86"/>
      <c r="C74" s="86"/>
      <c r="D74" s="86"/>
      <c r="E74" s="86"/>
      <c r="F74" s="86"/>
      <c r="G74" s="86"/>
      <c r="H74" s="86"/>
    </row>
    <row r="75" spans="1:8" ht="18" customHeight="1" x14ac:dyDescent="0.3">
      <c r="A75" s="22"/>
      <c r="B75" s="22"/>
      <c r="C75" s="22"/>
      <c r="D75" s="22"/>
      <c r="E75" s="22"/>
      <c r="F75" s="22"/>
      <c r="G75" s="22"/>
      <c r="H75" s="22"/>
    </row>
    <row r="76" spans="1:8" ht="20.100000000000001" customHeight="1" x14ac:dyDescent="0.3">
      <c r="A76" s="22"/>
      <c r="B76" s="61" t="s">
        <v>450</v>
      </c>
      <c r="C76" s="61" t="s">
        <v>451</v>
      </c>
      <c r="D76" s="61" t="s">
        <v>452</v>
      </c>
      <c r="E76" s="22"/>
      <c r="F76" s="22"/>
      <c r="G76" s="22"/>
      <c r="H76" s="22"/>
    </row>
    <row r="77" spans="1:8" ht="20.100000000000001" customHeight="1" x14ac:dyDescent="0.3">
      <c r="A77" s="22"/>
      <c r="B77" s="60" t="s">
        <v>664</v>
      </c>
      <c r="C77" s="81">
        <v>46147</v>
      </c>
      <c r="D77" s="60" t="s">
        <v>665</v>
      </c>
      <c r="E77" s="22"/>
      <c r="F77" s="22"/>
      <c r="G77" s="22"/>
      <c r="H77" s="22"/>
    </row>
    <row r="78" spans="1:8" ht="20.100000000000001" customHeight="1" x14ac:dyDescent="0.3">
      <c r="A78" s="22"/>
      <c r="B78" s="60" t="s">
        <v>666</v>
      </c>
      <c r="C78" s="60" t="s">
        <v>667</v>
      </c>
      <c r="D78" s="60" t="s">
        <v>668</v>
      </c>
      <c r="E78" s="22"/>
      <c r="F78" s="22"/>
      <c r="G78" s="22"/>
      <c r="H78" s="22"/>
    </row>
    <row r="79" spans="1:8" ht="20.100000000000001" customHeight="1" x14ac:dyDescent="0.3">
      <c r="A79" s="22"/>
      <c r="B79" s="60" t="s">
        <v>669</v>
      </c>
      <c r="C79" s="81">
        <v>46146</v>
      </c>
      <c r="D79" s="60" t="s">
        <v>670</v>
      </c>
      <c r="E79" s="22"/>
      <c r="F79" s="22"/>
      <c r="G79" s="22"/>
      <c r="H79" s="22"/>
    </row>
    <row r="80" spans="1:8" ht="20.100000000000001" customHeight="1" x14ac:dyDescent="0.3">
      <c r="A80" s="22"/>
      <c r="B80" s="60" t="s">
        <v>671</v>
      </c>
      <c r="C80" s="60" t="s">
        <v>672</v>
      </c>
      <c r="D80" s="60" t="s">
        <v>673</v>
      </c>
      <c r="E80" s="22"/>
      <c r="F80" s="22"/>
      <c r="G80" s="22"/>
      <c r="H80" s="22"/>
    </row>
    <row r="81" spans="1:8" ht="20.100000000000001" customHeight="1" x14ac:dyDescent="0.3">
      <c r="A81" s="22"/>
      <c r="B81" s="60" t="s">
        <v>674</v>
      </c>
      <c r="C81" s="60" t="s">
        <v>675</v>
      </c>
      <c r="D81" s="60" t="s">
        <v>676</v>
      </c>
      <c r="E81" s="22"/>
      <c r="F81" s="22"/>
      <c r="G81" s="22"/>
      <c r="H81" s="22"/>
    </row>
    <row r="82" spans="1:8" ht="18" customHeight="1" x14ac:dyDescent="0.3">
      <c r="A82" s="22"/>
      <c r="B82" s="22"/>
      <c r="C82" s="22"/>
      <c r="D82" s="22"/>
      <c r="E82" s="22"/>
      <c r="F82" s="22"/>
      <c r="G82" s="22"/>
      <c r="H82" s="22"/>
    </row>
    <row r="83" spans="1:8" ht="24" customHeight="1" x14ac:dyDescent="0.3">
      <c r="A83" s="86" t="s">
        <v>677</v>
      </c>
      <c r="B83" s="86"/>
      <c r="C83" s="86"/>
      <c r="D83" s="86"/>
      <c r="E83" s="86"/>
      <c r="F83" s="86"/>
      <c r="G83" s="86"/>
      <c r="H83" s="86"/>
    </row>
    <row r="84" spans="1:8" ht="18" customHeight="1" x14ac:dyDescent="0.3">
      <c r="A84" s="22"/>
      <c r="B84" s="22"/>
      <c r="C84" s="22"/>
      <c r="D84" s="22"/>
      <c r="E84" s="22"/>
      <c r="F84" s="22"/>
      <c r="G84" s="22"/>
      <c r="H84" s="22"/>
    </row>
    <row r="85" spans="1:8" ht="20.100000000000001" customHeight="1" x14ac:dyDescent="0.3">
      <c r="A85" s="22"/>
      <c r="B85" s="61" t="s">
        <v>678</v>
      </c>
      <c r="C85" s="61" t="s">
        <v>679</v>
      </c>
      <c r="D85" s="22"/>
      <c r="E85" s="22"/>
      <c r="F85" s="22"/>
      <c r="G85" s="22"/>
      <c r="H85" s="22"/>
    </row>
    <row r="86" spans="1:8" ht="20.100000000000001" customHeight="1" x14ac:dyDescent="0.3">
      <c r="A86" s="22"/>
      <c r="B86" s="60" t="s">
        <v>680</v>
      </c>
      <c r="C86" s="60" t="s">
        <v>681</v>
      </c>
      <c r="D86" s="22"/>
      <c r="E86" s="22"/>
      <c r="F86" s="22"/>
      <c r="G86" s="22"/>
      <c r="H86" s="22"/>
    </row>
    <row r="87" spans="1:8" ht="20.100000000000001" customHeight="1" x14ac:dyDescent="0.3">
      <c r="A87" s="22"/>
      <c r="B87" s="60" t="s">
        <v>682</v>
      </c>
      <c r="C87" s="60" t="s">
        <v>683</v>
      </c>
      <c r="D87" s="22"/>
      <c r="E87" s="22"/>
      <c r="F87" s="22"/>
      <c r="G87" s="22"/>
      <c r="H87" s="22"/>
    </row>
    <row r="88" spans="1:8" ht="20.100000000000001" customHeight="1" x14ac:dyDescent="0.3">
      <c r="A88" s="22"/>
      <c r="B88" s="60" t="s">
        <v>684</v>
      </c>
      <c r="C88" s="60" t="s">
        <v>685</v>
      </c>
      <c r="D88" s="22"/>
      <c r="E88" s="22"/>
      <c r="F88" s="22"/>
      <c r="G88" s="22"/>
      <c r="H88" s="22"/>
    </row>
    <row r="89" spans="1:8" ht="20.100000000000001" customHeight="1" x14ac:dyDescent="0.3">
      <c r="A89" s="22"/>
      <c r="B89" s="60" t="s">
        <v>686</v>
      </c>
      <c r="C89" s="60" t="s">
        <v>687</v>
      </c>
      <c r="D89" s="22"/>
      <c r="E89" s="22"/>
      <c r="F89" s="22"/>
      <c r="G89" s="22"/>
      <c r="H89" s="22"/>
    </row>
    <row r="90" spans="1:8" ht="20.100000000000001" customHeight="1" x14ac:dyDescent="0.3">
      <c r="A90" s="22"/>
      <c r="B90" s="60" t="s">
        <v>688</v>
      </c>
      <c r="C90" s="60" t="s">
        <v>689</v>
      </c>
      <c r="D90" s="22"/>
      <c r="E90" s="22"/>
      <c r="F90" s="22"/>
      <c r="G90" s="22"/>
      <c r="H90" s="22"/>
    </row>
    <row r="91" spans="1:8" ht="18" customHeight="1" x14ac:dyDescent="0.3">
      <c r="A91" s="22"/>
      <c r="B91" s="22"/>
      <c r="C91" s="22"/>
      <c r="D91" s="22"/>
      <c r="E91" s="22"/>
      <c r="F91" s="22"/>
      <c r="G91" s="22"/>
      <c r="H91" s="22"/>
    </row>
    <row r="92" spans="1:8" ht="18" customHeight="1" x14ac:dyDescent="0.3">
      <c r="A92" s="22"/>
      <c r="B92" s="22"/>
      <c r="C92" s="22"/>
      <c r="D92" s="22"/>
      <c r="E92" s="22"/>
      <c r="F92" s="22"/>
      <c r="G92" s="22"/>
      <c r="H92" s="22"/>
    </row>
    <row r="93" spans="1:8" ht="18" customHeight="1" x14ac:dyDescent="0.3">
      <c r="A93" s="22"/>
      <c r="B93" s="22"/>
      <c r="C93" s="22"/>
      <c r="D93" s="22"/>
      <c r="E93" s="22"/>
      <c r="F93" s="22"/>
      <c r="G93" s="22"/>
      <c r="H93" s="22"/>
    </row>
    <row r="94" spans="1:8" ht="18" customHeight="1" x14ac:dyDescent="0.3">
      <c r="A94" s="22"/>
      <c r="B94" s="22"/>
      <c r="C94" s="22"/>
      <c r="D94" s="22"/>
      <c r="E94" s="22"/>
      <c r="F94" s="22"/>
      <c r="G94" s="22"/>
      <c r="H94" s="22"/>
    </row>
  </sheetData>
  <mergeCells count="17">
    <mergeCell ref="A5:H5"/>
    <mergeCell ref="A15:H15"/>
    <mergeCell ref="B17:H17"/>
    <mergeCell ref="B18:H18"/>
    <mergeCell ref="A25:H25"/>
    <mergeCell ref="A1:H1"/>
    <mergeCell ref="A2:E2"/>
    <mergeCell ref="F2:H2"/>
    <mergeCell ref="A3:E3"/>
    <mergeCell ref="F3:H3"/>
    <mergeCell ref="A74:H74"/>
    <mergeCell ref="A83:H83"/>
    <mergeCell ref="A34:H34"/>
    <mergeCell ref="A43:H43"/>
    <mergeCell ref="B52:H52"/>
    <mergeCell ref="A53:H53"/>
    <mergeCell ref="A62:H62"/>
  </mergeCells>
  <phoneticPr fontId="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1000"/>
  <sheetViews>
    <sheetView zoomScaleNormal="100" workbookViewId="0">
      <pane ySplit="13" topLeftCell="A14" activePane="bottomLeft" state="frozenSplit"/>
      <selection pane="bottomLeft" activeCell="G17" sqref="G17"/>
    </sheetView>
  </sheetViews>
  <sheetFormatPr defaultRowHeight="13.5" x14ac:dyDescent="0.15"/>
  <cols>
    <col min="1" max="1" width="11.625" customWidth="1"/>
    <col min="2" max="2" width="16.625" customWidth="1"/>
    <col min="3" max="3" width="1.625" hidden="1" customWidth="1"/>
    <col min="4" max="4" width="11.625" customWidth="1"/>
    <col min="5" max="5" width="16.625" customWidth="1"/>
    <col min="6" max="6" width="1.625" hidden="1" customWidth="1"/>
    <col min="7" max="7" width="11.625" customWidth="1"/>
    <col min="8" max="8" width="16.625" customWidth="1"/>
    <col min="9" max="9" width="1.625" hidden="1" customWidth="1"/>
    <col min="10" max="10" width="11.625" customWidth="1"/>
    <col min="11" max="11" width="16.625" customWidth="1"/>
    <col min="12" max="13" width="1.625" hidden="1" customWidth="1"/>
    <col min="14" max="17" width="8.625" customWidth="1"/>
    <col min="18" max="18" width="4.625" customWidth="1"/>
    <col min="19" max="22" width="14.625" customWidth="1"/>
    <col min="23" max="23" width="2.625" customWidth="1"/>
    <col min="24" max="24" width="18.625" customWidth="1"/>
    <col min="25" max="25" width="24.625" customWidth="1"/>
  </cols>
  <sheetData>
    <row r="1" spans="1:22" ht="8.1" customHeight="1" x14ac:dyDescent="0.15"/>
    <row r="2" spans="1:22" ht="30" customHeight="1" x14ac:dyDescent="0.15">
      <c r="A2" s="93" t="s">
        <v>489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4"/>
      <c r="N2" s="181" t="s">
        <v>0</v>
      </c>
      <c r="O2" s="182"/>
      <c r="P2" s="182"/>
      <c r="Q2" s="183"/>
      <c r="S2" s="172" t="s">
        <v>502</v>
      </c>
      <c r="T2" s="173"/>
      <c r="U2" s="173"/>
      <c r="V2" s="174"/>
    </row>
    <row r="3" spans="1:22" ht="21.95" customHeight="1" x14ac:dyDescent="0.15">
      <c r="A3" s="99" t="s">
        <v>490</v>
      </c>
      <c r="B3" s="99"/>
      <c r="C3" s="99"/>
      <c r="D3" s="99"/>
      <c r="E3" s="95">
        <v>2025</v>
      </c>
      <c r="F3" s="95"/>
      <c r="G3" s="95"/>
      <c r="H3" s="95"/>
      <c r="I3" s="95"/>
      <c r="J3" s="95"/>
      <c r="K3" s="95"/>
      <c r="L3" s="95"/>
      <c r="M3" s="96"/>
      <c r="N3" s="184"/>
      <c r="O3" s="185"/>
      <c r="P3" s="185"/>
      <c r="Q3" s="186"/>
      <c r="S3" s="175"/>
      <c r="T3" s="176"/>
      <c r="U3" s="176"/>
      <c r="V3" s="177"/>
    </row>
    <row r="4" spans="1:22" ht="21.95" customHeight="1" x14ac:dyDescent="0.15">
      <c r="A4" s="99" t="s">
        <v>491</v>
      </c>
      <c r="B4" s="99"/>
      <c r="C4" s="99"/>
      <c r="D4" s="99"/>
      <c r="E4" s="95" t="s">
        <v>501</v>
      </c>
      <c r="F4" s="95"/>
      <c r="G4" s="95"/>
      <c r="H4" s="95"/>
      <c r="I4" s="95"/>
      <c r="J4" s="95"/>
      <c r="K4" s="95"/>
      <c r="L4" s="95"/>
      <c r="M4" s="96"/>
      <c r="N4" s="187" t="s">
        <v>526</v>
      </c>
      <c r="O4" s="188"/>
      <c r="P4" s="188"/>
      <c r="Q4" s="189"/>
      <c r="S4" s="175"/>
      <c r="T4" s="176"/>
      <c r="U4" s="176"/>
      <c r="V4" s="177"/>
    </row>
    <row r="5" spans="1:22" ht="21.95" customHeight="1" x14ac:dyDescent="0.15">
      <c r="A5" s="99" t="s">
        <v>1</v>
      </c>
      <c r="B5" s="99"/>
      <c r="C5" s="99"/>
      <c r="D5" s="99"/>
      <c r="E5" s="95" t="s">
        <v>386</v>
      </c>
      <c r="F5" s="95"/>
      <c r="G5" s="95"/>
      <c r="H5" s="95"/>
      <c r="I5" s="95"/>
      <c r="J5" s="95"/>
      <c r="K5" s="95"/>
      <c r="L5" s="95"/>
      <c r="M5" s="96"/>
      <c r="N5" s="187"/>
      <c r="O5" s="188"/>
      <c r="P5" s="188"/>
      <c r="Q5" s="189"/>
      <c r="S5" s="175"/>
      <c r="T5" s="176"/>
      <c r="U5" s="176"/>
      <c r="V5" s="177"/>
    </row>
    <row r="6" spans="1:22" ht="21.95" customHeight="1" x14ac:dyDescent="0.15">
      <c r="A6" s="100" t="s">
        <v>2</v>
      </c>
      <c r="B6" s="100"/>
      <c r="C6" s="100"/>
      <c r="D6" s="100"/>
      <c r="E6" s="97" t="s">
        <v>3</v>
      </c>
      <c r="F6" s="97"/>
      <c r="G6" s="97"/>
      <c r="H6" s="97"/>
      <c r="I6" s="97"/>
      <c r="J6" s="97"/>
      <c r="K6" s="97"/>
      <c r="L6" s="97"/>
      <c r="M6" s="98"/>
      <c r="N6" s="163" t="s">
        <v>496</v>
      </c>
      <c r="O6" s="164"/>
      <c r="P6" s="164"/>
      <c r="Q6" s="165"/>
      <c r="S6" s="175"/>
      <c r="T6" s="176"/>
      <c r="U6" s="176"/>
      <c r="V6" s="177"/>
    </row>
    <row r="7" spans="1:22" ht="26.1" customHeight="1" x14ac:dyDescent="0.15">
      <c r="A7" s="133" t="s">
        <v>492</v>
      </c>
      <c r="B7" s="133"/>
      <c r="C7" s="134"/>
      <c r="D7" s="109" t="s">
        <v>4</v>
      </c>
      <c r="E7" s="109"/>
      <c r="F7" s="110"/>
      <c r="G7" s="155" t="s">
        <v>5</v>
      </c>
      <c r="H7" s="155"/>
      <c r="I7" s="156"/>
      <c r="J7" s="143" t="s">
        <v>6</v>
      </c>
      <c r="K7" s="143"/>
      <c r="L7" s="143"/>
      <c r="M7" s="144"/>
      <c r="N7" s="163"/>
      <c r="O7" s="164"/>
      <c r="P7" s="164"/>
      <c r="Q7" s="165"/>
      <c r="S7" s="175"/>
      <c r="T7" s="176"/>
      <c r="U7" s="176"/>
      <c r="V7" s="177"/>
    </row>
    <row r="8" spans="1:22" ht="9.9499999999999993" customHeight="1" x14ac:dyDescent="0.15">
      <c r="A8" s="111"/>
      <c r="B8" s="111"/>
      <c r="C8" s="112"/>
      <c r="D8" s="111"/>
      <c r="E8" s="111"/>
      <c r="F8" s="112"/>
      <c r="G8" s="111"/>
      <c r="H8" s="111"/>
      <c r="I8" s="112"/>
      <c r="J8" s="111"/>
      <c r="K8" s="111"/>
      <c r="L8" s="111"/>
      <c r="M8" s="112"/>
      <c r="N8" s="163" t="s">
        <v>527</v>
      </c>
      <c r="O8" s="164"/>
      <c r="P8" s="164"/>
      <c r="Q8" s="165"/>
      <c r="S8" s="178"/>
      <c r="T8" s="179"/>
      <c r="U8" s="179"/>
      <c r="V8" s="180"/>
    </row>
    <row r="9" spans="1:22" ht="24" customHeight="1" x14ac:dyDescent="0.15">
      <c r="A9" s="127" t="s">
        <v>7</v>
      </c>
      <c r="B9" s="128"/>
      <c r="C9" s="129"/>
      <c r="D9" s="113" t="s">
        <v>8</v>
      </c>
      <c r="E9" s="114"/>
      <c r="F9" s="115"/>
      <c r="G9" s="157" t="s">
        <v>9</v>
      </c>
      <c r="H9" s="158"/>
      <c r="I9" s="159"/>
      <c r="J9" s="145" t="s">
        <v>10</v>
      </c>
      <c r="K9" s="146"/>
      <c r="L9" s="146"/>
      <c r="M9" s="146"/>
      <c r="N9" s="163"/>
      <c r="O9" s="164"/>
      <c r="P9" s="164"/>
      <c r="Q9" s="165"/>
    </row>
    <row r="10" spans="1:22" ht="24" customHeight="1" x14ac:dyDescent="0.15">
      <c r="A10" s="130"/>
      <c r="B10" s="131"/>
      <c r="C10" s="132"/>
      <c r="D10" s="116"/>
      <c r="E10" s="117"/>
      <c r="F10" s="118"/>
      <c r="G10" s="160"/>
      <c r="H10" s="161"/>
      <c r="I10" s="162"/>
      <c r="J10" s="147"/>
      <c r="K10" s="148"/>
      <c r="L10" s="148"/>
      <c r="M10" s="148"/>
      <c r="N10" s="67"/>
      <c r="Q10" s="68"/>
    </row>
    <row r="11" spans="1:22" ht="21.95" customHeight="1" x14ac:dyDescent="0.15">
      <c r="A11" s="101" t="s">
        <v>493</v>
      </c>
      <c r="B11" s="102"/>
      <c r="C11" s="103"/>
      <c r="D11" s="119" t="s">
        <v>475</v>
      </c>
      <c r="E11" s="120"/>
      <c r="F11" s="121"/>
      <c r="G11" s="135" t="s">
        <v>476</v>
      </c>
      <c r="H11" s="136"/>
      <c r="I11" s="137"/>
      <c r="J11" s="149" t="s">
        <v>477</v>
      </c>
      <c r="K11" s="150"/>
      <c r="L11" s="150"/>
      <c r="M11" s="150"/>
      <c r="N11" s="169" t="s">
        <v>430</v>
      </c>
      <c r="O11" s="170"/>
      <c r="P11" s="170"/>
      <c r="Q11" s="171"/>
    </row>
    <row r="12" spans="1:22" ht="21.95" customHeight="1" x14ac:dyDescent="0.15">
      <c r="A12" s="104"/>
      <c r="B12" s="105"/>
      <c r="C12" s="106"/>
      <c r="D12" s="122"/>
      <c r="E12" s="123"/>
      <c r="F12" s="124"/>
      <c r="G12" s="138"/>
      <c r="H12" s="139"/>
      <c r="I12" s="140"/>
      <c r="J12" s="151"/>
      <c r="K12" s="152"/>
      <c r="L12" s="152"/>
      <c r="M12" s="152"/>
      <c r="N12" s="163" t="s">
        <v>453</v>
      </c>
      <c r="O12" s="164"/>
      <c r="P12" s="164"/>
      <c r="Q12" s="165"/>
    </row>
    <row r="13" spans="1:22" ht="21.95" customHeight="1" x14ac:dyDescent="0.15">
      <c r="A13" s="70" t="s">
        <v>11</v>
      </c>
      <c r="B13" s="107" t="s">
        <v>12</v>
      </c>
      <c r="C13" s="108"/>
      <c r="D13" s="71" t="s">
        <v>11</v>
      </c>
      <c r="E13" s="125" t="s">
        <v>12</v>
      </c>
      <c r="F13" s="126"/>
      <c r="G13" s="72" t="s">
        <v>11</v>
      </c>
      <c r="H13" s="141" t="s">
        <v>12</v>
      </c>
      <c r="I13" s="142"/>
      <c r="J13" s="73" t="s">
        <v>11</v>
      </c>
      <c r="K13" s="153" t="s">
        <v>12</v>
      </c>
      <c r="L13" s="153"/>
      <c r="M13" s="154"/>
      <c r="N13" s="166"/>
      <c r="O13" s="167"/>
      <c r="P13" s="167"/>
      <c r="Q13" s="168"/>
    </row>
    <row r="14" spans="1:22" ht="21.95" customHeight="1" x14ac:dyDescent="0.15">
      <c r="A14" s="69" t="s">
        <v>13</v>
      </c>
      <c r="B14" s="65" t="s">
        <v>503</v>
      </c>
      <c r="C14" s="66"/>
      <c r="D14" s="69"/>
      <c r="E14" s="65"/>
      <c r="F14" s="66"/>
      <c r="G14" s="69" t="s">
        <v>512</v>
      </c>
      <c r="H14" s="65" t="s">
        <v>513</v>
      </c>
      <c r="I14" s="66"/>
      <c r="J14" s="69" t="s">
        <v>514</v>
      </c>
      <c r="K14" s="65" t="s">
        <v>515</v>
      </c>
      <c r="L14" s="65"/>
      <c r="M14" s="65"/>
    </row>
    <row r="15" spans="1:22" ht="21.95" customHeight="1" x14ac:dyDescent="0.15">
      <c r="A15" s="69" t="s">
        <v>504</v>
      </c>
      <c r="B15" s="65" t="s">
        <v>505</v>
      </c>
      <c r="C15" s="66"/>
      <c r="D15" s="69"/>
      <c r="E15" s="65"/>
      <c r="F15" s="66"/>
      <c r="G15" s="69"/>
      <c r="H15" s="65"/>
      <c r="I15" s="66"/>
      <c r="J15" s="69"/>
      <c r="K15" s="65"/>
      <c r="L15" s="65"/>
      <c r="M15" s="65"/>
    </row>
    <row r="16" spans="1:22" ht="21.95" customHeight="1" x14ac:dyDescent="0.15">
      <c r="A16" s="69" t="s">
        <v>506</v>
      </c>
      <c r="B16" s="65" t="s">
        <v>507</v>
      </c>
      <c r="C16" s="66"/>
      <c r="D16" s="69"/>
      <c r="E16" s="65"/>
      <c r="F16" s="66"/>
      <c r="G16" s="69"/>
      <c r="H16" s="65"/>
      <c r="I16" s="66"/>
      <c r="J16" s="69"/>
      <c r="K16" s="65"/>
      <c r="L16" s="65"/>
      <c r="M16" s="65"/>
    </row>
    <row r="17" spans="1:13" ht="21.95" customHeight="1" x14ac:dyDescent="0.15">
      <c r="A17" s="69" t="s">
        <v>508</v>
      </c>
      <c r="B17" s="65" t="s">
        <v>509</v>
      </c>
      <c r="C17" s="66"/>
      <c r="D17" s="69"/>
      <c r="E17" s="65"/>
      <c r="F17" s="66"/>
      <c r="G17" s="69"/>
      <c r="H17" s="65"/>
      <c r="I17" s="66"/>
      <c r="J17" s="69"/>
      <c r="K17" s="65"/>
      <c r="L17" s="65"/>
      <c r="M17" s="65"/>
    </row>
    <row r="18" spans="1:13" ht="21.95" customHeight="1" x14ac:dyDescent="0.15">
      <c r="A18" s="69" t="s">
        <v>510</v>
      </c>
      <c r="B18" s="65" t="s">
        <v>511</v>
      </c>
      <c r="C18" s="66"/>
      <c r="D18" s="69"/>
      <c r="E18" s="65"/>
      <c r="F18" s="66"/>
      <c r="G18" s="69"/>
      <c r="H18" s="65"/>
      <c r="I18" s="66"/>
      <c r="J18" s="69"/>
      <c r="K18" s="65"/>
      <c r="L18" s="65"/>
      <c r="M18" s="65"/>
    </row>
    <row r="19" spans="1:13" ht="21.95" customHeight="1" x14ac:dyDescent="0.15">
      <c r="A19" s="69"/>
      <c r="B19" s="65"/>
      <c r="C19" s="66"/>
      <c r="D19" s="69"/>
      <c r="E19" s="65"/>
      <c r="F19" s="66"/>
      <c r="G19" s="69"/>
      <c r="H19" s="65"/>
      <c r="I19" s="66"/>
      <c r="J19" s="69"/>
      <c r="K19" s="65"/>
      <c r="L19" s="65"/>
      <c r="M19" s="65"/>
    </row>
    <row r="20" spans="1:13" ht="21.95" customHeight="1" x14ac:dyDescent="0.15">
      <c r="A20" s="69"/>
      <c r="B20" s="65"/>
      <c r="C20" s="66"/>
      <c r="D20" s="69"/>
      <c r="E20" s="65"/>
      <c r="F20" s="66"/>
      <c r="G20" s="69"/>
      <c r="H20" s="65"/>
      <c r="I20" s="66"/>
      <c r="J20" s="69"/>
      <c r="K20" s="65"/>
      <c r="L20" s="65"/>
      <c r="M20" s="65"/>
    </row>
    <row r="21" spans="1:13" ht="21.95" customHeight="1" x14ac:dyDescent="0.15">
      <c r="A21" s="69"/>
      <c r="B21" s="65"/>
      <c r="C21" s="66"/>
      <c r="D21" s="69"/>
      <c r="E21" s="65"/>
      <c r="F21" s="66"/>
      <c r="G21" s="69"/>
      <c r="H21" s="65"/>
      <c r="I21" s="66"/>
      <c r="J21" s="69"/>
      <c r="K21" s="65"/>
      <c r="L21" s="65"/>
      <c r="M21" s="65"/>
    </row>
    <row r="22" spans="1:13" ht="21.95" customHeight="1" x14ac:dyDescent="0.15">
      <c r="A22" s="69"/>
      <c r="B22" s="65"/>
      <c r="C22" s="66"/>
      <c r="D22" s="69"/>
      <c r="E22" s="65"/>
      <c r="F22" s="66"/>
      <c r="G22" s="69"/>
      <c r="H22" s="65"/>
      <c r="I22" s="66"/>
      <c r="J22" s="69"/>
      <c r="K22" s="65"/>
      <c r="L22" s="65"/>
      <c r="M22" s="65"/>
    </row>
    <row r="23" spans="1:13" ht="21.95" customHeight="1" x14ac:dyDescent="0.15">
      <c r="A23" s="69"/>
      <c r="B23" s="65"/>
      <c r="C23" s="66"/>
      <c r="D23" s="69"/>
      <c r="E23" s="65"/>
      <c r="F23" s="66"/>
      <c r="G23" s="69"/>
      <c r="H23" s="65"/>
      <c r="I23" s="66"/>
      <c r="J23" s="69"/>
      <c r="K23" s="65"/>
      <c r="L23" s="65"/>
      <c r="M23" s="65"/>
    </row>
    <row r="24" spans="1:13" ht="21.95" customHeight="1" x14ac:dyDescent="0.15">
      <c r="A24" s="69"/>
      <c r="B24" s="65"/>
      <c r="C24" s="66"/>
      <c r="D24" s="69"/>
      <c r="E24" s="65"/>
      <c r="F24" s="66"/>
      <c r="G24" s="69"/>
      <c r="H24" s="65"/>
      <c r="I24" s="66"/>
      <c r="J24" s="69"/>
      <c r="K24" s="65"/>
      <c r="L24" s="65"/>
      <c r="M24" s="65"/>
    </row>
    <row r="25" spans="1:13" ht="21.95" customHeight="1" x14ac:dyDescent="0.15">
      <c r="A25" s="69"/>
      <c r="B25" s="65"/>
      <c r="C25" s="66"/>
      <c r="D25" s="69"/>
      <c r="E25" s="65"/>
      <c r="F25" s="66"/>
      <c r="G25" s="69"/>
      <c r="H25" s="65"/>
      <c r="I25" s="66"/>
      <c r="J25" s="69"/>
      <c r="K25" s="65"/>
      <c r="L25" s="65"/>
      <c r="M25" s="65"/>
    </row>
    <row r="26" spans="1:13" ht="21.95" customHeight="1" x14ac:dyDescent="0.15">
      <c r="A26" s="69"/>
      <c r="B26" s="65"/>
      <c r="C26" s="66"/>
      <c r="D26" s="69"/>
      <c r="E26" s="65"/>
      <c r="F26" s="66"/>
      <c r="G26" s="69"/>
      <c r="H26" s="65"/>
      <c r="I26" s="66"/>
      <c r="J26" s="69"/>
      <c r="K26" s="65"/>
      <c r="L26" s="65"/>
      <c r="M26" s="65"/>
    </row>
    <row r="27" spans="1:13" ht="21.95" customHeight="1" x14ac:dyDescent="0.15">
      <c r="A27" s="69"/>
      <c r="B27" s="65"/>
      <c r="C27" s="66"/>
      <c r="D27" s="69"/>
      <c r="E27" s="65"/>
      <c r="F27" s="66"/>
      <c r="G27" s="69"/>
      <c r="H27" s="65"/>
      <c r="I27" s="66"/>
      <c r="J27" s="69"/>
      <c r="K27" s="65"/>
      <c r="L27" s="65"/>
      <c r="M27" s="65"/>
    </row>
    <row r="28" spans="1:13" ht="21.95" customHeight="1" x14ac:dyDescent="0.15">
      <c r="A28" s="69"/>
      <c r="B28" s="65"/>
      <c r="C28" s="66"/>
      <c r="D28" s="69"/>
      <c r="E28" s="65"/>
      <c r="F28" s="66"/>
      <c r="G28" s="69"/>
      <c r="H28" s="65"/>
      <c r="I28" s="66"/>
      <c r="J28" s="69"/>
      <c r="K28" s="65"/>
      <c r="L28" s="65"/>
      <c r="M28" s="65"/>
    </row>
    <row r="29" spans="1:13" ht="21.95" customHeight="1" x14ac:dyDescent="0.15">
      <c r="A29" s="69"/>
      <c r="B29" s="65"/>
      <c r="C29" s="66"/>
      <c r="D29" s="69"/>
      <c r="E29" s="65"/>
      <c r="F29" s="66"/>
      <c r="G29" s="69"/>
      <c r="H29" s="65"/>
      <c r="I29" s="66"/>
      <c r="J29" s="69"/>
      <c r="K29" s="65"/>
      <c r="L29" s="65"/>
      <c r="M29" s="65"/>
    </row>
    <row r="30" spans="1:13" ht="24" customHeight="1" x14ac:dyDescent="0.15">
      <c r="A30" s="69"/>
      <c r="B30" s="65"/>
      <c r="C30" s="66"/>
      <c r="D30" s="69"/>
      <c r="E30" s="65"/>
      <c r="F30" s="66"/>
      <c r="G30" s="69"/>
      <c r="H30" s="65"/>
      <c r="I30" s="66"/>
      <c r="J30" s="69"/>
      <c r="K30" s="65"/>
      <c r="L30" s="65"/>
      <c r="M30" s="65"/>
    </row>
    <row r="31" spans="1:13" ht="24" customHeight="1" x14ac:dyDescent="0.15">
      <c r="A31" s="69"/>
      <c r="B31" s="65"/>
      <c r="C31" s="66"/>
      <c r="D31" s="69"/>
      <c r="E31" s="65"/>
      <c r="F31" s="66"/>
      <c r="G31" s="69"/>
      <c r="H31" s="65"/>
      <c r="I31" s="66"/>
      <c r="J31" s="69"/>
      <c r="K31" s="65"/>
      <c r="L31" s="65"/>
      <c r="M31" s="65"/>
    </row>
    <row r="32" spans="1:13" ht="24" customHeight="1" x14ac:dyDescent="0.15">
      <c r="A32" s="69"/>
      <c r="B32" s="65"/>
      <c r="C32" s="66"/>
      <c r="D32" s="69"/>
      <c r="E32" s="65"/>
      <c r="F32" s="66"/>
      <c r="G32" s="69"/>
      <c r="H32" s="65"/>
      <c r="I32" s="66"/>
      <c r="J32" s="69"/>
      <c r="K32" s="65"/>
      <c r="L32" s="65"/>
      <c r="M32" s="65"/>
    </row>
    <row r="33" spans="1:13" ht="24" customHeight="1" x14ac:dyDescent="0.15">
      <c r="A33" s="69"/>
      <c r="B33" s="65"/>
      <c r="C33" s="66"/>
      <c r="D33" s="69"/>
      <c r="E33" s="65"/>
      <c r="F33" s="66"/>
      <c r="G33" s="69"/>
      <c r="H33" s="65"/>
      <c r="I33" s="66"/>
      <c r="J33" s="69"/>
      <c r="K33" s="65"/>
      <c r="L33" s="65"/>
      <c r="M33" s="65"/>
    </row>
    <row r="34" spans="1:13" ht="21.95" customHeight="1" x14ac:dyDescent="0.15">
      <c r="A34" s="69"/>
      <c r="B34" s="65"/>
      <c r="C34" s="66"/>
      <c r="D34" s="69"/>
      <c r="E34" s="65"/>
      <c r="F34" s="66"/>
      <c r="G34" s="69"/>
      <c r="H34" s="65"/>
      <c r="I34" s="66"/>
      <c r="J34" s="69"/>
      <c r="K34" s="65"/>
      <c r="L34" s="65"/>
      <c r="M34" s="65"/>
    </row>
    <row r="35" spans="1:13" ht="21.95" customHeight="1" x14ac:dyDescent="0.15">
      <c r="A35" s="69"/>
      <c r="B35" s="65"/>
      <c r="C35" s="66"/>
      <c r="D35" s="69"/>
      <c r="E35" s="65"/>
      <c r="F35" s="66"/>
      <c r="G35" s="69"/>
      <c r="H35" s="65"/>
      <c r="I35" s="66"/>
      <c r="J35" s="69"/>
      <c r="K35" s="65"/>
      <c r="L35" s="65"/>
      <c r="M35" s="65"/>
    </row>
    <row r="36" spans="1:13" ht="21.95" customHeight="1" x14ac:dyDescent="0.15">
      <c r="A36" s="69"/>
      <c r="B36" s="65"/>
      <c r="C36" s="66"/>
      <c r="D36" s="69"/>
      <c r="E36" s="65"/>
      <c r="F36" s="66"/>
      <c r="G36" s="69"/>
      <c r="H36" s="65"/>
      <c r="I36" s="66"/>
      <c r="J36" s="69"/>
      <c r="K36" s="65"/>
      <c r="L36" s="65"/>
      <c r="M36" s="65"/>
    </row>
    <row r="37" spans="1:13" ht="21.95" customHeight="1" x14ac:dyDescent="0.15">
      <c r="A37" s="69"/>
      <c r="B37" s="65"/>
      <c r="C37" s="66"/>
      <c r="D37" s="69"/>
      <c r="E37" s="65"/>
      <c r="F37" s="66"/>
      <c r="G37" s="69"/>
      <c r="H37" s="65"/>
      <c r="I37" s="66"/>
      <c r="J37" s="69"/>
      <c r="K37" s="65"/>
      <c r="L37" s="65"/>
      <c r="M37" s="65"/>
    </row>
    <row r="38" spans="1:13" ht="21.95" customHeight="1" x14ac:dyDescent="0.15">
      <c r="A38" s="69"/>
      <c r="B38" s="65"/>
      <c r="C38" s="66"/>
      <c r="D38" s="69"/>
      <c r="E38" s="65"/>
      <c r="F38" s="66"/>
      <c r="G38" s="69"/>
      <c r="H38" s="65"/>
      <c r="I38" s="66"/>
      <c r="J38" s="69"/>
      <c r="K38" s="65"/>
      <c r="L38" s="65"/>
      <c r="M38" s="65"/>
    </row>
    <row r="39" spans="1:13" ht="21.95" customHeight="1" x14ac:dyDescent="0.15">
      <c r="A39" s="69"/>
      <c r="B39" s="65"/>
      <c r="C39" s="66"/>
      <c r="D39" s="69"/>
      <c r="E39" s="65"/>
      <c r="F39" s="66"/>
      <c r="G39" s="69"/>
      <c r="H39" s="65"/>
      <c r="I39" s="66"/>
      <c r="J39" s="69"/>
      <c r="K39" s="65"/>
      <c r="L39" s="65"/>
      <c r="M39" s="65"/>
    </row>
    <row r="40" spans="1:13" ht="21.95" customHeight="1" x14ac:dyDescent="0.15">
      <c r="A40" s="69"/>
      <c r="B40" s="65"/>
      <c r="C40" s="66"/>
      <c r="D40" s="69"/>
      <c r="E40" s="65"/>
      <c r="F40" s="66"/>
      <c r="G40" s="69"/>
      <c r="H40" s="65"/>
      <c r="I40" s="66"/>
      <c r="J40" s="69"/>
      <c r="K40" s="65"/>
      <c r="L40" s="65"/>
      <c r="M40" s="65"/>
    </row>
    <row r="41" spans="1:13" ht="21.95" customHeight="1" x14ac:dyDescent="0.15">
      <c r="A41" s="69"/>
      <c r="B41" s="65"/>
      <c r="C41" s="66"/>
      <c r="D41" s="69"/>
      <c r="E41" s="65"/>
      <c r="F41" s="66"/>
      <c r="G41" s="69"/>
      <c r="H41" s="65"/>
      <c r="I41" s="66"/>
      <c r="J41" s="69"/>
      <c r="K41" s="65"/>
      <c r="L41" s="65"/>
      <c r="M41" s="65"/>
    </row>
    <row r="42" spans="1:13" ht="21.95" customHeight="1" x14ac:dyDescent="0.15">
      <c r="A42" s="69"/>
      <c r="B42" s="65"/>
      <c r="C42" s="66"/>
      <c r="D42" s="69"/>
      <c r="E42" s="65"/>
      <c r="F42" s="66"/>
      <c r="G42" s="69"/>
      <c r="H42" s="65"/>
      <c r="I42" s="66"/>
      <c r="J42" s="69"/>
      <c r="K42" s="65"/>
      <c r="L42" s="65"/>
      <c r="M42" s="65"/>
    </row>
    <row r="43" spans="1:13" ht="21.95" customHeight="1" x14ac:dyDescent="0.15">
      <c r="A43" s="69"/>
      <c r="B43" s="65"/>
      <c r="C43" s="66"/>
      <c r="D43" s="69"/>
      <c r="E43" s="65"/>
      <c r="F43" s="66"/>
      <c r="G43" s="69"/>
      <c r="H43" s="65"/>
      <c r="I43" s="66"/>
      <c r="J43" s="69"/>
      <c r="K43" s="65"/>
      <c r="L43" s="65"/>
      <c r="M43" s="65"/>
    </row>
    <row r="44" spans="1:13" ht="21.95" customHeight="1" x14ac:dyDescent="0.15">
      <c r="A44" s="69"/>
      <c r="B44" s="65"/>
      <c r="C44" s="66"/>
      <c r="D44" s="69"/>
      <c r="E44" s="65"/>
      <c r="F44" s="66"/>
      <c r="G44" s="69"/>
      <c r="H44" s="65"/>
      <c r="I44" s="66"/>
      <c r="J44" s="69"/>
      <c r="K44" s="65"/>
      <c r="L44" s="65"/>
      <c r="M44" s="65"/>
    </row>
    <row r="45" spans="1:13" ht="21.95" customHeight="1" x14ac:dyDescent="0.15">
      <c r="A45" s="69"/>
      <c r="B45" s="65"/>
      <c r="C45" s="66"/>
      <c r="D45" s="69"/>
      <c r="E45" s="65"/>
      <c r="F45" s="66"/>
      <c r="G45" s="69"/>
      <c r="H45" s="65"/>
      <c r="I45" s="66"/>
      <c r="J45" s="69"/>
      <c r="K45" s="65"/>
      <c r="L45" s="65"/>
      <c r="M45" s="65"/>
    </row>
    <row r="46" spans="1:13" ht="21.95" customHeight="1" x14ac:dyDescent="0.15">
      <c r="A46" s="69"/>
      <c r="B46" s="65"/>
      <c r="C46" s="66"/>
      <c r="D46" s="69"/>
      <c r="E46" s="65"/>
      <c r="F46" s="66"/>
      <c r="G46" s="69"/>
      <c r="H46" s="65"/>
      <c r="I46" s="66"/>
      <c r="J46" s="69"/>
      <c r="K46" s="65"/>
      <c r="L46" s="65"/>
      <c r="M46" s="65"/>
    </row>
    <row r="47" spans="1:13" ht="21.95" customHeight="1" x14ac:dyDescent="0.15">
      <c r="A47" s="69"/>
      <c r="B47" s="65"/>
      <c r="C47" s="66"/>
      <c r="D47" s="69"/>
      <c r="E47" s="65"/>
      <c r="F47" s="66"/>
      <c r="G47" s="69"/>
      <c r="H47" s="65"/>
      <c r="I47" s="66"/>
      <c r="J47" s="69"/>
      <c r="K47" s="65"/>
      <c r="L47" s="65"/>
      <c r="M47" s="65"/>
    </row>
    <row r="48" spans="1:13" ht="21.95" customHeight="1" x14ac:dyDescent="0.15">
      <c r="A48" s="69"/>
      <c r="B48" s="65"/>
      <c r="C48" s="66"/>
      <c r="D48" s="69"/>
      <c r="E48" s="65"/>
      <c r="F48" s="66"/>
      <c r="G48" s="69"/>
      <c r="H48" s="65"/>
      <c r="I48" s="66"/>
      <c r="J48" s="69"/>
      <c r="K48" s="65"/>
      <c r="L48" s="65"/>
      <c r="M48" s="65"/>
    </row>
    <row r="49" spans="1:14" ht="21.95" customHeight="1" x14ac:dyDescent="0.15">
      <c r="A49" s="69"/>
      <c r="B49" s="65"/>
      <c r="C49" s="66"/>
      <c r="D49" s="69"/>
      <c r="E49" s="65"/>
      <c r="F49" s="66"/>
      <c r="G49" s="69"/>
      <c r="H49" s="65"/>
      <c r="I49" s="66"/>
      <c r="J49" s="69"/>
      <c r="K49" s="65"/>
      <c r="L49" s="65"/>
      <c r="M49" s="65"/>
    </row>
    <row r="50" spans="1:14" ht="21.95" customHeight="1" x14ac:dyDescent="0.15">
      <c r="A50" s="69"/>
      <c r="B50" s="65"/>
      <c r="C50" s="66"/>
      <c r="D50" s="69"/>
      <c r="E50" s="65"/>
      <c r="F50" s="66"/>
      <c r="G50" s="69"/>
      <c r="H50" s="65"/>
      <c r="I50" s="66"/>
      <c r="J50" s="69"/>
      <c r="K50" s="65"/>
      <c r="L50" s="65"/>
      <c r="M50" s="65"/>
    </row>
    <row r="51" spans="1:14" ht="20.100000000000001" customHeight="1" x14ac:dyDescent="0.35">
      <c r="A51" s="63"/>
      <c r="B51" s="64"/>
      <c r="C51" s="64"/>
      <c r="D51" s="63"/>
      <c r="E51" s="63"/>
      <c r="F51" s="64"/>
      <c r="G51" s="63"/>
      <c r="H51" s="64"/>
      <c r="I51" s="63"/>
      <c r="J51" s="63"/>
      <c r="K51" s="64"/>
      <c r="L51" s="64"/>
      <c r="M51" s="63"/>
      <c r="N51" s="62"/>
    </row>
    <row r="52" spans="1:14" x14ac:dyDescent="0.15">
      <c r="A52" s="1"/>
      <c r="D52" s="1"/>
      <c r="E52" s="1"/>
      <c r="G52" s="1"/>
      <c r="I52" s="1"/>
      <c r="J52" s="1"/>
      <c r="M52" s="1"/>
    </row>
    <row r="53" spans="1:14" x14ac:dyDescent="0.15">
      <c r="A53" s="1"/>
      <c r="D53" s="1"/>
      <c r="E53" s="1"/>
      <c r="G53" s="1"/>
      <c r="I53" s="1"/>
      <c r="J53" s="1"/>
      <c r="M53" s="1"/>
    </row>
    <row r="54" spans="1:14" x14ac:dyDescent="0.15">
      <c r="A54" s="1"/>
      <c r="D54" s="1"/>
      <c r="E54" s="1"/>
      <c r="G54" s="1"/>
      <c r="I54" s="1"/>
      <c r="J54" s="1"/>
      <c r="M54" s="1"/>
    </row>
    <row r="55" spans="1:14" x14ac:dyDescent="0.15">
      <c r="A55" s="1"/>
      <c r="D55" s="1"/>
      <c r="E55" s="1"/>
      <c r="G55" s="1"/>
      <c r="I55" s="1"/>
      <c r="J55" s="1"/>
      <c r="M55" s="1"/>
    </row>
    <row r="56" spans="1:14" x14ac:dyDescent="0.15">
      <c r="A56" s="1"/>
      <c r="D56" s="1"/>
      <c r="E56" s="1"/>
      <c r="G56" s="1"/>
      <c r="I56" s="1"/>
      <c r="J56" s="1"/>
      <c r="M56" s="1"/>
    </row>
    <row r="57" spans="1:14" x14ac:dyDescent="0.15">
      <c r="A57" s="1"/>
      <c r="D57" s="1"/>
      <c r="E57" s="1"/>
      <c r="G57" s="1"/>
      <c r="I57" s="1"/>
      <c r="J57" s="1"/>
      <c r="M57" s="1"/>
    </row>
    <row r="58" spans="1:14" x14ac:dyDescent="0.15">
      <c r="A58" s="1"/>
      <c r="D58" s="1"/>
      <c r="E58" s="1"/>
      <c r="G58" s="1"/>
      <c r="I58" s="1"/>
      <c r="J58" s="1"/>
      <c r="M58" s="1"/>
    </row>
    <row r="59" spans="1:14" x14ac:dyDescent="0.15">
      <c r="A59" s="1"/>
      <c r="D59" s="1"/>
      <c r="E59" s="1"/>
      <c r="G59" s="1"/>
      <c r="I59" s="1"/>
      <c r="J59" s="1"/>
      <c r="M59" s="1"/>
    </row>
    <row r="60" spans="1:14" x14ac:dyDescent="0.15">
      <c r="A60" s="1"/>
      <c r="D60" s="1"/>
      <c r="E60" s="1"/>
      <c r="G60" s="1"/>
      <c r="I60" s="1"/>
      <c r="J60" s="1"/>
      <c r="M60" s="1"/>
    </row>
    <row r="61" spans="1:14" x14ac:dyDescent="0.15">
      <c r="A61" s="1"/>
      <c r="D61" s="1"/>
      <c r="E61" s="1"/>
      <c r="G61" s="1"/>
      <c r="I61" s="1"/>
      <c r="J61" s="1"/>
      <c r="M61" s="1"/>
    </row>
    <row r="62" spans="1:14" x14ac:dyDescent="0.15">
      <c r="A62" s="1"/>
      <c r="D62" s="1"/>
      <c r="E62" s="1"/>
      <c r="G62" s="1"/>
      <c r="I62" s="1"/>
      <c r="J62" s="1"/>
      <c r="M62" s="1"/>
    </row>
    <row r="63" spans="1:14" x14ac:dyDescent="0.15">
      <c r="A63" s="1"/>
      <c r="D63" s="1"/>
      <c r="E63" s="1"/>
      <c r="G63" s="1"/>
      <c r="I63" s="1"/>
      <c r="J63" s="1"/>
      <c r="M63" s="1"/>
    </row>
    <row r="64" spans="1:14" x14ac:dyDescent="0.15">
      <c r="A64" s="1"/>
      <c r="D64" s="1"/>
      <c r="E64" s="1"/>
      <c r="G64" s="1"/>
      <c r="I64" s="1"/>
      <c r="J64" s="1"/>
      <c r="M64" s="1"/>
    </row>
    <row r="65" spans="1:13" x14ac:dyDescent="0.15">
      <c r="A65" s="1"/>
      <c r="D65" s="1"/>
      <c r="E65" s="1"/>
      <c r="G65" s="1"/>
      <c r="I65" s="1"/>
      <c r="J65" s="1"/>
      <c r="M65" s="1"/>
    </row>
    <row r="66" spans="1:13" x14ac:dyDescent="0.15">
      <c r="A66" s="1"/>
      <c r="D66" s="1"/>
      <c r="E66" s="1"/>
      <c r="G66" s="1"/>
      <c r="I66" s="1"/>
      <c r="J66" s="1"/>
      <c r="M66" s="1"/>
    </row>
    <row r="67" spans="1:13" x14ac:dyDescent="0.15">
      <c r="A67" s="1"/>
      <c r="D67" s="1"/>
      <c r="E67" s="1"/>
      <c r="G67" s="1"/>
      <c r="I67" s="1"/>
      <c r="J67" s="1"/>
      <c r="M67" s="1"/>
    </row>
    <row r="68" spans="1:13" x14ac:dyDescent="0.15">
      <c r="A68" s="1"/>
      <c r="D68" s="1"/>
      <c r="E68" s="1"/>
      <c r="G68" s="1"/>
      <c r="I68" s="1"/>
      <c r="J68" s="1"/>
      <c r="M68" s="1"/>
    </row>
    <row r="69" spans="1:13" x14ac:dyDescent="0.15">
      <c r="A69" s="1"/>
      <c r="D69" s="1"/>
      <c r="E69" s="1"/>
      <c r="G69" s="1"/>
      <c r="I69" s="1"/>
      <c r="J69" s="1"/>
      <c r="M69" s="1"/>
    </row>
    <row r="70" spans="1:13" x14ac:dyDescent="0.15">
      <c r="A70" s="1"/>
      <c r="D70" s="1"/>
      <c r="E70" s="1"/>
      <c r="G70" s="1"/>
      <c r="I70" s="1"/>
      <c r="J70" s="1"/>
      <c r="M70" s="1"/>
    </row>
    <row r="71" spans="1:13" x14ac:dyDescent="0.15">
      <c r="A71" s="1"/>
      <c r="D71" s="1"/>
      <c r="E71" s="1"/>
      <c r="G71" s="1"/>
      <c r="I71" s="1"/>
      <c r="J71" s="1"/>
      <c r="M71" s="1"/>
    </row>
    <row r="72" spans="1:13" x14ac:dyDescent="0.15">
      <c r="A72" s="1"/>
      <c r="D72" s="1"/>
      <c r="E72" s="1"/>
      <c r="G72" s="1"/>
      <c r="I72" s="1"/>
      <c r="J72" s="1"/>
      <c r="M72" s="1"/>
    </row>
    <row r="73" spans="1:13" x14ac:dyDescent="0.15">
      <c r="A73" s="1"/>
      <c r="D73" s="1"/>
      <c r="E73" s="1"/>
      <c r="G73" s="1"/>
      <c r="I73" s="1"/>
      <c r="J73" s="1"/>
      <c r="M73" s="1"/>
    </row>
    <row r="74" spans="1:13" x14ac:dyDescent="0.15">
      <c r="A74" s="1"/>
      <c r="D74" s="1"/>
      <c r="E74" s="1"/>
      <c r="G74" s="1"/>
      <c r="I74" s="1"/>
      <c r="J74" s="1"/>
      <c r="M74" s="1"/>
    </row>
    <row r="75" spans="1:13" x14ac:dyDescent="0.15">
      <c r="A75" s="1"/>
      <c r="D75" s="1"/>
      <c r="E75" s="1"/>
      <c r="G75" s="1"/>
      <c r="I75" s="1"/>
      <c r="J75" s="1"/>
      <c r="M75" s="1"/>
    </row>
    <row r="76" spans="1:13" x14ac:dyDescent="0.15">
      <c r="A76" s="1"/>
      <c r="D76" s="1"/>
      <c r="E76" s="1"/>
      <c r="G76" s="1"/>
      <c r="I76" s="1"/>
      <c r="J76" s="1"/>
      <c r="M76" s="1"/>
    </row>
    <row r="77" spans="1:13" x14ac:dyDescent="0.15">
      <c r="A77" s="1"/>
      <c r="D77" s="1"/>
      <c r="E77" s="1"/>
      <c r="G77" s="1"/>
      <c r="I77" s="1"/>
      <c r="J77" s="1"/>
      <c r="M77" s="1"/>
    </row>
    <row r="78" spans="1:13" x14ac:dyDescent="0.15">
      <c r="A78" s="1"/>
      <c r="D78" s="1"/>
      <c r="E78" s="1"/>
      <c r="G78" s="1"/>
      <c r="I78" s="1"/>
      <c r="J78" s="1"/>
      <c r="M78" s="1"/>
    </row>
    <row r="79" spans="1:13" x14ac:dyDescent="0.15">
      <c r="A79" s="1"/>
      <c r="D79" s="1"/>
      <c r="E79" s="1"/>
      <c r="G79" s="1"/>
      <c r="I79" s="1"/>
      <c r="J79" s="1"/>
      <c r="M79" s="1"/>
    </row>
    <row r="80" spans="1:13" x14ac:dyDescent="0.15">
      <c r="A80" s="1"/>
      <c r="D80" s="1"/>
      <c r="E80" s="1"/>
      <c r="G80" s="1"/>
      <c r="I80" s="1"/>
      <c r="J80" s="1"/>
      <c r="M80" s="1"/>
    </row>
    <row r="81" spans="1:13" x14ac:dyDescent="0.15">
      <c r="A81" s="1"/>
      <c r="D81" s="1"/>
      <c r="E81" s="1"/>
      <c r="G81" s="1"/>
      <c r="I81" s="1"/>
      <c r="J81" s="1"/>
      <c r="M81" s="1"/>
    </row>
    <row r="82" spans="1:13" x14ac:dyDescent="0.15">
      <c r="A82" s="1"/>
      <c r="D82" s="1"/>
      <c r="E82" s="1"/>
      <c r="G82" s="1"/>
      <c r="I82" s="1"/>
      <c r="J82" s="1"/>
      <c r="M82" s="1"/>
    </row>
    <row r="83" spans="1:13" x14ac:dyDescent="0.15">
      <c r="A83" s="1"/>
      <c r="D83" s="1"/>
      <c r="E83" s="1"/>
      <c r="G83" s="1"/>
      <c r="I83" s="1"/>
      <c r="J83" s="1"/>
      <c r="M83" s="1"/>
    </row>
    <row r="84" spans="1:13" x14ac:dyDescent="0.15">
      <c r="A84" s="1"/>
      <c r="D84" s="1"/>
      <c r="E84" s="1"/>
      <c r="G84" s="1"/>
      <c r="I84" s="1"/>
      <c r="J84" s="1"/>
      <c r="M84" s="1"/>
    </row>
    <row r="85" spans="1:13" x14ac:dyDescent="0.15">
      <c r="A85" s="1"/>
      <c r="D85" s="1"/>
      <c r="E85" s="1"/>
      <c r="G85" s="1"/>
      <c r="I85" s="1"/>
      <c r="J85" s="1"/>
      <c r="M85" s="1"/>
    </row>
    <row r="86" spans="1:13" x14ac:dyDescent="0.15">
      <c r="A86" s="1"/>
      <c r="D86" s="1"/>
      <c r="E86" s="1"/>
      <c r="G86" s="1"/>
      <c r="I86" s="1"/>
      <c r="J86" s="1"/>
      <c r="M86" s="1"/>
    </row>
    <row r="87" spans="1:13" x14ac:dyDescent="0.15">
      <c r="A87" s="1"/>
      <c r="D87" s="1"/>
      <c r="E87" s="1"/>
      <c r="G87" s="1"/>
      <c r="I87" s="1"/>
      <c r="J87" s="1"/>
      <c r="M87" s="1"/>
    </row>
    <row r="88" spans="1:13" x14ac:dyDescent="0.15">
      <c r="A88" s="1"/>
      <c r="D88" s="1"/>
      <c r="E88" s="1"/>
      <c r="G88" s="1"/>
      <c r="I88" s="1"/>
      <c r="J88" s="1"/>
      <c r="M88" s="1"/>
    </row>
    <row r="89" spans="1:13" x14ac:dyDescent="0.15">
      <c r="A89" s="1"/>
      <c r="D89" s="1"/>
      <c r="E89" s="1"/>
      <c r="G89" s="1"/>
      <c r="I89" s="1"/>
      <c r="J89" s="1"/>
      <c r="M89" s="1"/>
    </row>
    <row r="90" spans="1:13" x14ac:dyDescent="0.15">
      <c r="A90" s="1"/>
      <c r="D90" s="1"/>
      <c r="E90" s="1"/>
      <c r="G90" s="1"/>
      <c r="I90" s="1"/>
      <c r="J90" s="1"/>
      <c r="M90" s="1"/>
    </row>
    <row r="91" spans="1:13" x14ac:dyDescent="0.15">
      <c r="A91" s="1"/>
      <c r="D91" s="1"/>
      <c r="E91" s="1"/>
      <c r="G91" s="1"/>
      <c r="I91" s="1"/>
      <c r="J91" s="1"/>
      <c r="M91" s="1"/>
    </row>
    <row r="92" spans="1:13" x14ac:dyDescent="0.15">
      <c r="A92" s="1"/>
      <c r="D92" s="1"/>
      <c r="E92" s="1"/>
      <c r="G92" s="1"/>
      <c r="I92" s="1"/>
      <c r="J92" s="1"/>
      <c r="M92" s="1"/>
    </row>
    <row r="93" spans="1:13" x14ac:dyDescent="0.15">
      <c r="A93" s="1"/>
      <c r="D93" s="1"/>
      <c r="E93" s="1"/>
      <c r="G93" s="1"/>
      <c r="I93" s="1"/>
      <c r="J93" s="1"/>
      <c r="M93" s="1"/>
    </row>
    <row r="94" spans="1:13" x14ac:dyDescent="0.15">
      <c r="A94" s="1"/>
      <c r="D94" s="1"/>
      <c r="E94" s="1"/>
      <c r="G94" s="1"/>
      <c r="I94" s="1"/>
      <c r="J94" s="1"/>
      <c r="M94" s="1"/>
    </row>
    <row r="95" spans="1:13" x14ac:dyDescent="0.15">
      <c r="A95" s="1"/>
      <c r="D95" s="1"/>
      <c r="E95" s="1"/>
      <c r="G95" s="1"/>
      <c r="I95" s="1"/>
      <c r="J95" s="1"/>
      <c r="M95" s="1"/>
    </row>
    <row r="96" spans="1:13" x14ac:dyDescent="0.15">
      <c r="A96" s="1"/>
      <c r="D96" s="1"/>
      <c r="E96" s="1"/>
      <c r="G96" s="1"/>
      <c r="I96" s="1"/>
      <c r="J96" s="1"/>
      <c r="M96" s="1"/>
    </row>
    <row r="97" spans="1:13" x14ac:dyDescent="0.15">
      <c r="A97" s="1"/>
      <c r="D97" s="1"/>
      <c r="E97" s="1"/>
      <c r="G97" s="1"/>
      <c r="I97" s="1"/>
      <c r="J97" s="1"/>
      <c r="M97" s="1"/>
    </row>
    <row r="98" spans="1:13" x14ac:dyDescent="0.15">
      <c r="A98" s="1"/>
      <c r="D98" s="1"/>
      <c r="E98" s="1"/>
      <c r="G98" s="1"/>
      <c r="I98" s="1"/>
      <c r="J98" s="1"/>
      <c r="M98" s="1"/>
    </row>
    <row r="99" spans="1:13" x14ac:dyDescent="0.15">
      <c r="A99" s="1"/>
      <c r="D99" s="1"/>
      <c r="E99" s="1"/>
      <c r="G99" s="1"/>
      <c r="I99" s="1"/>
      <c r="J99" s="1"/>
      <c r="M99" s="1"/>
    </row>
    <row r="100" spans="1:13" x14ac:dyDescent="0.15">
      <c r="A100" s="1"/>
      <c r="D100" s="1"/>
      <c r="E100" s="1"/>
      <c r="G100" s="1"/>
      <c r="I100" s="1"/>
      <c r="J100" s="1"/>
      <c r="M100" s="1"/>
    </row>
    <row r="101" spans="1:13" x14ac:dyDescent="0.15">
      <c r="A101" s="1"/>
      <c r="D101" s="1"/>
      <c r="E101" s="1"/>
      <c r="G101" s="1"/>
      <c r="I101" s="1"/>
      <c r="J101" s="1"/>
      <c r="M101" s="1"/>
    </row>
    <row r="102" spans="1:13" x14ac:dyDescent="0.15">
      <c r="A102" s="1"/>
      <c r="D102" s="1"/>
      <c r="E102" s="1"/>
      <c r="G102" s="1"/>
      <c r="I102" s="1"/>
      <c r="J102" s="1"/>
      <c r="M102" s="1"/>
    </row>
    <row r="103" spans="1:13" x14ac:dyDescent="0.15">
      <c r="A103" s="1"/>
      <c r="D103" s="1"/>
      <c r="E103" s="1"/>
      <c r="G103" s="1"/>
      <c r="I103" s="1"/>
      <c r="J103" s="1"/>
      <c r="M103" s="1"/>
    </row>
    <row r="104" spans="1:13" x14ac:dyDescent="0.15">
      <c r="A104" s="1"/>
      <c r="D104" s="1"/>
      <c r="E104" s="1"/>
      <c r="G104" s="1"/>
      <c r="I104" s="1"/>
      <c r="J104" s="1"/>
      <c r="M104" s="1"/>
    </row>
    <row r="105" spans="1:13" x14ac:dyDescent="0.15">
      <c r="A105" s="1"/>
      <c r="D105" s="1"/>
      <c r="E105" s="1"/>
      <c r="G105" s="1"/>
      <c r="I105" s="1"/>
      <c r="J105" s="1"/>
      <c r="M105" s="1"/>
    </row>
    <row r="106" spans="1:13" x14ac:dyDescent="0.15">
      <c r="A106" s="1"/>
      <c r="D106" s="1"/>
      <c r="E106" s="1"/>
      <c r="G106" s="1"/>
      <c r="I106" s="1"/>
      <c r="J106" s="1"/>
      <c r="M106" s="1"/>
    </row>
    <row r="107" spans="1:13" x14ac:dyDescent="0.15">
      <c r="A107" s="1"/>
      <c r="D107" s="1"/>
      <c r="E107" s="1"/>
      <c r="G107" s="1"/>
      <c r="I107" s="1"/>
      <c r="J107" s="1"/>
      <c r="M107" s="1"/>
    </row>
    <row r="108" spans="1:13" x14ac:dyDescent="0.15">
      <c r="A108" s="1"/>
      <c r="D108" s="1"/>
      <c r="E108" s="1"/>
      <c r="G108" s="1"/>
      <c r="I108" s="1"/>
      <c r="J108" s="1"/>
      <c r="M108" s="1"/>
    </row>
    <row r="109" spans="1:13" x14ac:dyDescent="0.15">
      <c r="A109" s="1"/>
      <c r="D109" s="1"/>
      <c r="E109" s="1"/>
      <c r="G109" s="1"/>
      <c r="I109" s="1"/>
      <c r="J109" s="1"/>
      <c r="M109" s="1"/>
    </row>
    <row r="110" spans="1:13" x14ac:dyDescent="0.15">
      <c r="A110" s="1"/>
      <c r="D110" s="1"/>
      <c r="E110" s="1"/>
      <c r="G110" s="1"/>
      <c r="I110" s="1"/>
      <c r="J110" s="1"/>
      <c r="M110" s="1"/>
    </row>
    <row r="111" spans="1:13" x14ac:dyDescent="0.15">
      <c r="A111" s="1"/>
      <c r="D111" s="1"/>
      <c r="E111" s="1"/>
      <c r="G111" s="1"/>
      <c r="I111" s="1"/>
      <c r="J111" s="1"/>
      <c r="M111" s="1"/>
    </row>
    <row r="112" spans="1:13" x14ac:dyDescent="0.15">
      <c r="A112" s="1"/>
      <c r="D112" s="1"/>
      <c r="E112" s="1"/>
      <c r="G112" s="1"/>
      <c r="I112" s="1"/>
      <c r="J112" s="1"/>
      <c r="M112" s="1"/>
    </row>
    <row r="113" spans="1:13" x14ac:dyDescent="0.15">
      <c r="A113" s="1"/>
      <c r="D113" s="1"/>
      <c r="E113" s="1"/>
      <c r="G113" s="1"/>
      <c r="I113" s="1"/>
      <c r="J113" s="1"/>
      <c r="M113" s="1"/>
    </row>
    <row r="114" spans="1:13" x14ac:dyDescent="0.15">
      <c r="A114" s="1"/>
      <c r="D114" s="1"/>
      <c r="E114" s="1"/>
      <c r="G114" s="1"/>
      <c r="I114" s="1"/>
      <c r="J114" s="1"/>
      <c r="M114" s="1"/>
    </row>
    <row r="115" spans="1:13" x14ac:dyDescent="0.15">
      <c r="A115" s="1"/>
      <c r="D115" s="1"/>
      <c r="E115" s="1"/>
      <c r="G115" s="1"/>
      <c r="I115" s="1"/>
      <c r="J115" s="1"/>
      <c r="M115" s="1"/>
    </row>
    <row r="116" spans="1:13" x14ac:dyDescent="0.15">
      <c r="A116" s="1"/>
      <c r="D116" s="1"/>
      <c r="E116" s="1"/>
      <c r="G116" s="1"/>
      <c r="I116" s="1"/>
      <c r="J116" s="1"/>
      <c r="M116" s="1"/>
    </row>
    <row r="117" spans="1:13" x14ac:dyDescent="0.15">
      <c r="A117" s="1"/>
      <c r="D117" s="1"/>
      <c r="E117" s="1"/>
      <c r="G117" s="1"/>
      <c r="I117" s="1"/>
      <c r="J117" s="1"/>
      <c r="M117" s="1"/>
    </row>
    <row r="118" spans="1:13" x14ac:dyDescent="0.15">
      <c r="A118" s="1"/>
      <c r="D118" s="1"/>
      <c r="E118" s="1"/>
      <c r="G118" s="1"/>
      <c r="I118" s="1"/>
      <c r="J118" s="1"/>
      <c r="M118" s="1"/>
    </row>
    <row r="119" spans="1:13" x14ac:dyDescent="0.15">
      <c r="A119" s="1"/>
      <c r="D119" s="1"/>
      <c r="E119" s="1"/>
      <c r="G119" s="1"/>
      <c r="I119" s="1"/>
      <c r="J119" s="1"/>
      <c r="M119" s="1"/>
    </row>
    <row r="120" spans="1:13" x14ac:dyDescent="0.15">
      <c r="A120" s="1"/>
      <c r="D120" s="1"/>
      <c r="E120" s="1"/>
      <c r="G120" s="1"/>
      <c r="I120" s="1"/>
      <c r="J120" s="1"/>
      <c r="M120" s="1"/>
    </row>
    <row r="121" spans="1:13" x14ac:dyDescent="0.15">
      <c r="A121" s="1"/>
      <c r="D121" s="1"/>
      <c r="E121" s="1"/>
      <c r="G121" s="1"/>
      <c r="I121" s="1"/>
      <c r="J121" s="1"/>
      <c r="M121" s="1"/>
    </row>
    <row r="122" spans="1:13" x14ac:dyDescent="0.15">
      <c r="A122" s="1"/>
      <c r="D122" s="1"/>
      <c r="E122" s="1"/>
      <c r="G122" s="1"/>
      <c r="I122" s="1"/>
      <c r="J122" s="1"/>
      <c r="M122" s="1"/>
    </row>
    <row r="123" spans="1:13" x14ac:dyDescent="0.15">
      <c r="A123" s="1"/>
      <c r="D123" s="1"/>
      <c r="E123" s="1"/>
      <c r="G123" s="1"/>
      <c r="I123" s="1"/>
      <c r="J123" s="1"/>
      <c r="M123" s="1"/>
    </row>
    <row r="124" spans="1:13" x14ac:dyDescent="0.15">
      <c r="A124" s="1"/>
      <c r="D124" s="1"/>
      <c r="E124" s="1"/>
      <c r="G124" s="1"/>
      <c r="I124" s="1"/>
      <c r="J124" s="1"/>
      <c r="M124" s="1"/>
    </row>
    <row r="125" spans="1:13" x14ac:dyDescent="0.15">
      <c r="A125" s="1"/>
      <c r="D125" s="1"/>
      <c r="E125" s="1"/>
      <c r="G125" s="1"/>
      <c r="I125" s="1"/>
      <c r="J125" s="1"/>
      <c r="M125" s="1"/>
    </row>
    <row r="126" spans="1:13" x14ac:dyDescent="0.15">
      <c r="A126" s="1"/>
      <c r="D126" s="1"/>
      <c r="E126" s="1"/>
      <c r="G126" s="1"/>
      <c r="I126" s="1"/>
      <c r="J126" s="1"/>
      <c r="M126" s="1"/>
    </row>
    <row r="127" spans="1:13" x14ac:dyDescent="0.15">
      <c r="A127" s="1"/>
      <c r="D127" s="1"/>
      <c r="E127" s="1"/>
      <c r="G127" s="1"/>
      <c r="I127" s="1"/>
      <c r="J127" s="1"/>
      <c r="M127" s="1"/>
    </row>
    <row r="128" spans="1:13" x14ac:dyDescent="0.15">
      <c r="A128" s="1"/>
      <c r="D128" s="1"/>
      <c r="E128" s="1"/>
      <c r="G128" s="1"/>
      <c r="I128" s="1"/>
      <c r="J128" s="1"/>
      <c r="M128" s="1"/>
    </row>
    <row r="129" spans="1:13" x14ac:dyDescent="0.15">
      <c r="A129" s="1"/>
      <c r="D129" s="1"/>
      <c r="E129" s="1"/>
      <c r="G129" s="1"/>
      <c r="I129" s="1"/>
      <c r="J129" s="1"/>
      <c r="M129" s="1"/>
    </row>
    <row r="130" spans="1:13" x14ac:dyDescent="0.15">
      <c r="A130" s="1"/>
      <c r="D130" s="1"/>
      <c r="E130" s="1"/>
      <c r="G130" s="1"/>
      <c r="I130" s="1"/>
      <c r="J130" s="1"/>
      <c r="M130" s="1"/>
    </row>
    <row r="131" spans="1:13" x14ac:dyDescent="0.15">
      <c r="A131" s="1"/>
      <c r="D131" s="1"/>
      <c r="E131" s="1"/>
      <c r="G131" s="1"/>
      <c r="I131" s="1"/>
      <c r="J131" s="1"/>
      <c r="M131" s="1"/>
    </row>
    <row r="132" spans="1:13" x14ac:dyDescent="0.15">
      <c r="A132" s="1"/>
      <c r="D132" s="1"/>
      <c r="E132" s="1"/>
      <c r="G132" s="1"/>
      <c r="I132" s="1"/>
      <c r="J132" s="1"/>
      <c r="M132" s="1"/>
    </row>
    <row r="133" spans="1:13" x14ac:dyDescent="0.15">
      <c r="A133" s="1"/>
      <c r="D133" s="1"/>
      <c r="E133" s="1"/>
      <c r="G133" s="1"/>
      <c r="I133" s="1"/>
      <c r="J133" s="1"/>
      <c r="M133" s="1"/>
    </row>
    <row r="134" spans="1:13" x14ac:dyDescent="0.15">
      <c r="A134" s="1"/>
      <c r="D134" s="1"/>
      <c r="E134" s="1"/>
      <c r="G134" s="1"/>
      <c r="I134" s="1"/>
      <c r="J134" s="1"/>
      <c r="M134" s="1"/>
    </row>
    <row r="135" spans="1:13" x14ac:dyDescent="0.15">
      <c r="A135" s="1"/>
      <c r="D135" s="1"/>
      <c r="E135" s="1"/>
      <c r="G135" s="1"/>
      <c r="I135" s="1"/>
      <c r="J135" s="1"/>
      <c r="M135" s="1"/>
    </row>
    <row r="136" spans="1:13" x14ac:dyDescent="0.15">
      <c r="A136" s="1"/>
      <c r="D136" s="1"/>
      <c r="E136" s="1"/>
      <c r="G136" s="1"/>
      <c r="I136" s="1"/>
      <c r="J136" s="1"/>
      <c r="M136" s="1"/>
    </row>
    <row r="137" spans="1:13" x14ac:dyDescent="0.15">
      <c r="A137" s="1"/>
      <c r="D137" s="1"/>
      <c r="E137" s="1"/>
      <c r="G137" s="1"/>
      <c r="I137" s="1"/>
      <c r="J137" s="1"/>
      <c r="M137" s="1"/>
    </row>
    <row r="138" spans="1:13" x14ac:dyDescent="0.15">
      <c r="A138" s="1"/>
      <c r="D138" s="1"/>
      <c r="E138" s="1"/>
      <c r="G138" s="1"/>
      <c r="I138" s="1"/>
      <c r="J138" s="1"/>
      <c r="M138" s="1"/>
    </row>
    <row r="139" spans="1:13" x14ac:dyDescent="0.15">
      <c r="A139" s="1"/>
      <c r="D139" s="1"/>
      <c r="E139" s="1"/>
      <c r="G139" s="1"/>
      <c r="I139" s="1"/>
      <c r="J139" s="1"/>
      <c r="M139" s="1"/>
    </row>
    <row r="140" spans="1:13" x14ac:dyDescent="0.15">
      <c r="A140" s="1"/>
      <c r="D140" s="1"/>
      <c r="E140" s="1"/>
      <c r="G140" s="1"/>
      <c r="I140" s="1"/>
      <c r="J140" s="1"/>
      <c r="M140" s="1"/>
    </row>
    <row r="141" spans="1:13" x14ac:dyDescent="0.15">
      <c r="A141" s="1"/>
      <c r="D141" s="1"/>
      <c r="E141" s="1"/>
      <c r="G141" s="1"/>
      <c r="I141" s="1"/>
      <c r="J141" s="1"/>
      <c r="M141" s="1"/>
    </row>
    <row r="142" spans="1:13" x14ac:dyDescent="0.15">
      <c r="A142" s="1"/>
      <c r="D142" s="1"/>
      <c r="E142" s="1"/>
      <c r="G142" s="1"/>
      <c r="I142" s="1"/>
      <c r="J142" s="1"/>
      <c r="M142" s="1"/>
    </row>
    <row r="143" spans="1:13" x14ac:dyDescent="0.15">
      <c r="A143" s="1"/>
      <c r="D143" s="1"/>
      <c r="E143" s="1"/>
      <c r="G143" s="1"/>
      <c r="I143" s="1"/>
      <c r="J143" s="1"/>
      <c r="M143" s="1"/>
    </row>
    <row r="144" spans="1:13" x14ac:dyDescent="0.15">
      <c r="A144" s="1"/>
      <c r="D144" s="1"/>
      <c r="E144" s="1"/>
      <c r="G144" s="1"/>
      <c r="I144" s="1"/>
      <c r="J144" s="1"/>
      <c r="M144" s="1"/>
    </row>
    <row r="145" spans="1:13" x14ac:dyDescent="0.15">
      <c r="A145" s="1"/>
      <c r="D145" s="1"/>
      <c r="E145" s="1"/>
      <c r="G145" s="1"/>
      <c r="I145" s="1"/>
      <c r="J145" s="1"/>
      <c r="M145" s="1"/>
    </row>
    <row r="146" spans="1:13" x14ac:dyDescent="0.15">
      <c r="A146" s="1"/>
      <c r="D146" s="1"/>
      <c r="E146" s="1"/>
      <c r="G146" s="1"/>
      <c r="I146" s="1"/>
      <c r="J146" s="1"/>
      <c r="M146" s="1"/>
    </row>
    <row r="147" spans="1:13" x14ac:dyDescent="0.15">
      <c r="A147" s="1"/>
      <c r="D147" s="1"/>
      <c r="E147" s="1"/>
      <c r="G147" s="1"/>
      <c r="I147" s="1"/>
      <c r="J147" s="1"/>
      <c r="M147" s="1"/>
    </row>
    <row r="148" spans="1:13" x14ac:dyDescent="0.15">
      <c r="A148" s="1"/>
      <c r="D148" s="1"/>
      <c r="E148" s="1"/>
      <c r="G148" s="1"/>
      <c r="I148" s="1"/>
      <c r="J148" s="1"/>
      <c r="M148" s="1"/>
    </row>
    <row r="149" spans="1:13" x14ac:dyDescent="0.15">
      <c r="A149" s="1"/>
      <c r="D149" s="1"/>
      <c r="E149" s="1"/>
      <c r="G149" s="1"/>
      <c r="I149" s="1"/>
      <c r="J149" s="1"/>
      <c r="M149" s="1"/>
    </row>
    <row r="150" spans="1:13" x14ac:dyDescent="0.15">
      <c r="A150" s="1"/>
      <c r="D150" s="1"/>
      <c r="E150" s="1"/>
      <c r="G150" s="1"/>
      <c r="I150" s="1"/>
      <c r="J150" s="1"/>
      <c r="M150" s="1"/>
    </row>
    <row r="151" spans="1:13" x14ac:dyDescent="0.15">
      <c r="A151" s="1"/>
      <c r="D151" s="1"/>
      <c r="E151" s="1"/>
      <c r="G151" s="1"/>
      <c r="I151" s="1"/>
      <c r="J151" s="1"/>
      <c r="M151" s="1"/>
    </row>
    <row r="152" spans="1:13" x14ac:dyDescent="0.15">
      <c r="A152" s="1"/>
      <c r="D152" s="1"/>
      <c r="E152" s="1"/>
      <c r="G152" s="1"/>
      <c r="I152" s="1"/>
      <c r="J152" s="1"/>
      <c r="M152" s="1"/>
    </row>
    <row r="153" spans="1:13" x14ac:dyDescent="0.15">
      <c r="A153" s="1"/>
      <c r="D153" s="1"/>
      <c r="E153" s="1"/>
      <c r="G153" s="1"/>
      <c r="I153" s="1"/>
      <c r="J153" s="1"/>
      <c r="M153" s="1"/>
    </row>
    <row r="154" spans="1:13" x14ac:dyDescent="0.15">
      <c r="A154" s="1"/>
      <c r="D154" s="1"/>
      <c r="E154" s="1"/>
      <c r="G154" s="1"/>
      <c r="I154" s="1"/>
      <c r="J154" s="1"/>
      <c r="M154" s="1"/>
    </row>
    <row r="155" spans="1:13" x14ac:dyDescent="0.15">
      <c r="A155" s="1"/>
      <c r="D155" s="1"/>
      <c r="E155" s="1"/>
      <c r="G155" s="1"/>
      <c r="I155" s="1"/>
      <c r="J155" s="1"/>
      <c r="M155" s="1"/>
    </row>
    <row r="156" spans="1:13" x14ac:dyDescent="0.15">
      <c r="A156" s="1"/>
      <c r="D156" s="1"/>
      <c r="E156" s="1"/>
      <c r="G156" s="1"/>
      <c r="I156" s="1"/>
      <c r="J156" s="1"/>
      <c r="M156" s="1"/>
    </row>
    <row r="157" spans="1:13" x14ac:dyDescent="0.15">
      <c r="A157" s="1"/>
      <c r="D157" s="1"/>
      <c r="E157" s="1"/>
      <c r="G157" s="1"/>
      <c r="I157" s="1"/>
      <c r="J157" s="1"/>
      <c r="M157" s="1"/>
    </row>
    <row r="158" spans="1:13" x14ac:dyDescent="0.15">
      <c r="A158" s="1"/>
      <c r="D158" s="1"/>
      <c r="E158" s="1"/>
      <c r="G158" s="1"/>
      <c r="I158" s="1"/>
      <c r="J158" s="1"/>
      <c r="M158" s="1"/>
    </row>
    <row r="159" spans="1:13" x14ac:dyDescent="0.15">
      <c r="A159" s="1"/>
      <c r="D159" s="1"/>
      <c r="E159" s="1"/>
      <c r="G159" s="1"/>
      <c r="I159" s="1"/>
      <c r="J159" s="1"/>
      <c r="M159" s="1"/>
    </row>
    <row r="160" spans="1:13" x14ac:dyDescent="0.15">
      <c r="A160" s="1"/>
      <c r="D160" s="1"/>
      <c r="E160" s="1"/>
      <c r="G160" s="1"/>
      <c r="I160" s="1"/>
      <c r="J160" s="1"/>
      <c r="M160" s="1"/>
    </row>
    <row r="161" spans="1:13" x14ac:dyDescent="0.15">
      <c r="A161" s="1"/>
      <c r="D161" s="1"/>
      <c r="E161" s="1"/>
      <c r="G161" s="1"/>
      <c r="I161" s="1"/>
      <c r="J161" s="1"/>
      <c r="M161" s="1"/>
    </row>
    <row r="162" spans="1:13" x14ac:dyDescent="0.15">
      <c r="A162" s="1"/>
      <c r="D162" s="1"/>
      <c r="E162" s="1"/>
      <c r="G162" s="1"/>
      <c r="I162" s="1"/>
      <c r="J162" s="1"/>
      <c r="M162" s="1"/>
    </row>
    <row r="163" spans="1:13" x14ac:dyDescent="0.15">
      <c r="A163" s="1"/>
      <c r="D163" s="1"/>
      <c r="E163" s="1"/>
      <c r="G163" s="1"/>
      <c r="I163" s="1"/>
      <c r="J163" s="1"/>
      <c r="M163" s="1"/>
    </row>
    <row r="164" spans="1:13" x14ac:dyDescent="0.15">
      <c r="A164" s="1"/>
      <c r="D164" s="1"/>
      <c r="E164" s="1"/>
      <c r="G164" s="1"/>
      <c r="I164" s="1"/>
      <c r="J164" s="1"/>
      <c r="M164" s="1"/>
    </row>
    <row r="165" spans="1:13" x14ac:dyDescent="0.15">
      <c r="A165" s="1"/>
      <c r="D165" s="1"/>
      <c r="E165" s="1"/>
      <c r="G165" s="1"/>
      <c r="I165" s="1"/>
      <c r="J165" s="1"/>
      <c r="M165" s="1"/>
    </row>
    <row r="166" spans="1:13" x14ac:dyDescent="0.15">
      <c r="A166" s="1"/>
      <c r="D166" s="1"/>
      <c r="E166" s="1"/>
      <c r="G166" s="1"/>
      <c r="I166" s="1"/>
      <c r="J166" s="1"/>
      <c r="M166" s="1"/>
    </row>
    <row r="167" spans="1:13" x14ac:dyDescent="0.15">
      <c r="A167" s="1"/>
      <c r="D167" s="1"/>
      <c r="E167" s="1"/>
      <c r="G167" s="1"/>
      <c r="I167" s="1"/>
      <c r="J167" s="1"/>
      <c r="M167" s="1"/>
    </row>
    <row r="168" spans="1:13" x14ac:dyDescent="0.15">
      <c r="A168" s="1"/>
      <c r="D168" s="1"/>
      <c r="E168" s="1"/>
      <c r="G168" s="1"/>
      <c r="I168" s="1"/>
      <c r="J168" s="1"/>
      <c r="M168" s="1"/>
    </row>
    <row r="169" spans="1:13" x14ac:dyDescent="0.15">
      <c r="A169" s="1"/>
      <c r="D169" s="1"/>
      <c r="E169" s="1"/>
      <c r="G169" s="1"/>
      <c r="I169" s="1"/>
      <c r="J169" s="1"/>
      <c r="M169" s="1"/>
    </row>
    <row r="170" spans="1:13" x14ac:dyDescent="0.15">
      <c r="A170" s="1"/>
      <c r="D170" s="1"/>
      <c r="E170" s="1"/>
      <c r="G170" s="1"/>
      <c r="I170" s="1"/>
      <c r="J170" s="1"/>
      <c r="M170" s="1"/>
    </row>
    <row r="171" spans="1:13" x14ac:dyDescent="0.15">
      <c r="A171" s="1"/>
      <c r="D171" s="1"/>
      <c r="E171" s="1"/>
      <c r="G171" s="1"/>
      <c r="I171" s="1"/>
      <c r="J171" s="1"/>
      <c r="M171" s="1"/>
    </row>
    <row r="172" spans="1:13" x14ac:dyDescent="0.15">
      <c r="A172" s="1"/>
      <c r="D172" s="1"/>
      <c r="E172" s="1"/>
      <c r="G172" s="1"/>
      <c r="I172" s="1"/>
      <c r="J172" s="1"/>
      <c r="M172" s="1"/>
    </row>
    <row r="173" spans="1:13" x14ac:dyDescent="0.15">
      <c r="A173" s="1"/>
      <c r="D173" s="1"/>
      <c r="E173" s="1"/>
      <c r="G173" s="1"/>
      <c r="I173" s="1"/>
      <c r="J173" s="1"/>
      <c r="M173" s="1"/>
    </row>
    <row r="174" spans="1:13" x14ac:dyDescent="0.15">
      <c r="A174" s="1"/>
      <c r="D174" s="1"/>
      <c r="E174" s="1"/>
      <c r="G174" s="1"/>
      <c r="I174" s="1"/>
      <c r="J174" s="1"/>
      <c r="M174" s="1"/>
    </row>
    <row r="175" spans="1:13" x14ac:dyDescent="0.15">
      <c r="A175" s="1"/>
      <c r="D175" s="1"/>
      <c r="E175" s="1"/>
      <c r="G175" s="1"/>
      <c r="I175" s="1"/>
      <c r="J175" s="1"/>
      <c r="M175" s="1"/>
    </row>
    <row r="176" spans="1:13" x14ac:dyDescent="0.15">
      <c r="A176" s="1"/>
      <c r="D176" s="1"/>
      <c r="E176" s="1"/>
      <c r="G176" s="1"/>
      <c r="I176" s="1"/>
      <c r="J176" s="1"/>
      <c r="M176" s="1"/>
    </row>
    <row r="177" spans="1:13" x14ac:dyDescent="0.15">
      <c r="A177" s="1"/>
      <c r="D177" s="1"/>
      <c r="E177" s="1"/>
      <c r="G177" s="1"/>
      <c r="I177" s="1"/>
      <c r="J177" s="1"/>
      <c r="M177" s="1"/>
    </row>
    <row r="178" spans="1:13" x14ac:dyDescent="0.15">
      <c r="A178" s="1"/>
      <c r="D178" s="1"/>
      <c r="E178" s="1"/>
      <c r="G178" s="1"/>
      <c r="I178" s="1"/>
      <c r="J178" s="1"/>
      <c r="M178" s="1"/>
    </row>
    <row r="179" spans="1:13" x14ac:dyDescent="0.15">
      <c r="A179" s="1"/>
      <c r="D179" s="1"/>
      <c r="E179" s="1"/>
      <c r="G179" s="1"/>
      <c r="I179" s="1"/>
      <c r="J179" s="1"/>
      <c r="M179" s="1"/>
    </row>
    <row r="180" spans="1:13" x14ac:dyDescent="0.15">
      <c r="A180" s="1"/>
      <c r="D180" s="1"/>
      <c r="E180" s="1"/>
      <c r="G180" s="1"/>
      <c r="I180" s="1"/>
      <c r="J180" s="1"/>
      <c r="M180" s="1"/>
    </row>
    <row r="181" spans="1:13" x14ac:dyDescent="0.15">
      <c r="A181" s="1"/>
      <c r="D181" s="1"/>
      <c r="E181" s="1"/>
      <c r="G181" s="1"/>
      <c r="I181" s="1"/>
      <c r="J181" s="1"/>
      <c r="M181" s="1"/>
    </row>
    <row r="182" spans="1:13" x14ac:dyDescent="0.15">
      <c r="A182" s="1"/>
      <c r="D182" s="1"/>
      <c r="E182" s="1"/>
      <c r="G182" s="1"/>
      <c r="I182" s="1"/>
      <c r="J182" s="1"/>
      <c r="M182" s="1"/>
    </row>
    <row r="183" spans="1:13" x14ac:dyDescent="0.15">
      <c r="A183" s="1"/>
      <c r="D183" s="1"/>
      <c r="E183" s="1"/>
      <c r="G183" s="1"/>
      <c r="I183" s="1"/>
      <c r="J183" s="1"/>
      <c r="M183" s="1"/>
    </row>
    <row r="184" spans="1:13" x14ac:dyDescent="0.15">
      <c r="A184" s="1"/>
      <c r="D184" s="1"/>
      <c r="E184" s="1"/>
      <c r="G184" s="1"/>
      <c r="I184" s="1"/>
      <c r="J184" s="1"/>
      <c r="M184" s="1"/>
    </row>
    <row r="185" spans="1:13" x14ac:dyDescent="0.15">
      <c r="A185" s="1"/>
      <c r="D185" s="1"/>
      <c r="E185" s="1"/>
      <c r="G185" s="1"/>
      <c r="I185" s="1"/>
      <c r="J185" s="1"/>
      <c r="M185" s="1"/>
    </row>
    <row r="186" spans="1:13" x14ac:dyDescent="0.15">
      <c r="A186" s="1"/>
      <c r="D186" s="1"/>
      <c r="E186" s="1"/>
      <c r="G186" s="1"/>
      <c r="I186" s="1"/>
      <c r="J186" s="1"/>
      <c r="M186" s="1"/>
    </row>
    <row r="187" spans="1:13" x14ac:dyDescent="0.15">
      <c r="A187" s="1"/>
      <c r="D187" s="1"/>
      <c r="E187" s="1"/>
      <c r="G187" s="1"/>
      <c r="I187" s="1"/>
      <c r="J187" s="1"/>
      <c r="M187" s="1"/>
    </row>
    <row r="188" spans="1:13" x14ac:dyDescent="0.15">
      <c r="A188" s="1"/>
      <c r="D188" s="1"/>
      <c r="E188" s="1"/>
      <c r="G188" s="1"/>
      <c r="I188" s="1"/>
      <c r="J188" s="1"/>
      <c r="M188" s="1"/>
    </row>
    <row r="189" spans="1:13" x14ac:dyDescent="0.15">
      <c r="A189" s="1"/>
      <c r="D189" s="1"/>
      <c r="E189" s="1"/>
      <c r="G189" s="1"/>
      <c r="I189" s="1"/>
      <c r="J189" s="1"/>
      <c r="M189" s="1"/>
    </row>
    <row r="190" spans="1:13" x14ac:dyDescent="0.15">
      <c r="A190" s="1"/>
      <c r="D190" s="1"/>
      <c r="E190" s="1"/>
      <c r="G190" s="1"/>
      <c r="I190" s="1"/>
      <c r="J190" s="1"/>
      <c r="M190" s="1"/>
    </row>
    <row r="191" spans="1:13" x14ac:dyDescent="0.15">
      <c r="A191" s="1"/>
      <c r="D191" s="1"/>
      <c r="E191" s="1"/>
      <c r="G191" s="1"/>
      <c r="I191" s="1"/>
      <c r="J191" s="1"/>
      <c r="M191" s="1"/>
    </row>
    <row r="192" spans="1:13" x14ac:dyDescent="0.15">
      <c r="A192" s="1"/>
      <c r="D192" s="1"/>
      <c r="E192" s="1"/>
      <c r="G192" s="1"/>
      <c r="I192" s="1"/>
      <c r="J192" s="1"/>
      <c r="M192" s="1"/>
    </row>
    <row r="193" spans="1:13" x14ac:dyDescent="0.15">
      <c r="A193" s="1"/>
      <c r="D193" s="1"/>
      <c r="E193" s="1"/>
      <c r="G193" s="1"/>
      <c r="I193" s="1"/>
      <c r="J193" s="1"/>
      <c r="M193" s="1"/>
    </row>
    <row r="194" spans="1:13" x14ac:dyDescent="0.15">
      <c r="A194" s="1"/>
      <c r="D194" s="1"/>
      <c r="E194" s="1"/>
      <c r="G194" s="1"/>
      <c r="I194" s="1"/>
      <c r="J194" s="1"/>
      <c r="M194" s="1"/>
    </row>
    <row r="195" spans="1:13" x14ac:dyDescent="0.15">
      <c r="A195" s="1"/>
      <c r="D195" s="1"/>
      <c r="E195" s="1"/>
      <c r="G195" s="1"/>
      <c r="I195" s="1"/>
      <c r="J195" s="1"/>
      <c r="M195" s="1"/>
    </row>
    <row r="196" spans="1:13" x14ac:dyDescent="0.15">
      <c r="A196" s="1"/>
      <c r="D196" s="1"/>
      <c r="E196" s="1"/>
      <c r="G196" s="1"/>
      <c r="I196" s="1"/>
      <c r="J196" s="1"/>
      <c r="M196" s="1"/>
    </row>
    <row r="197" spans="1:13" x14ac:dyDescent="0.15">
      <c r="A197" s="1"/>
      <c r="D197" s="1"/>
      <c r="E197" s="1"/>
      <c r="G197" s="1"/>
      <c r="I197" s="1"/>
      <c r="J197" s="1"/>
      <c r="M197" s="1"/>
    </row>
    <row r="198" spans="1:13" x14ac:dyDescent="0.15">
      <c r="A198" s="1"/>
      <c r="D198" s="1"/>
      <c r="E198" s="1"/>
      <c r="G198" s="1"/>
      <c r="I198" s="1"/>
      <c r="J198" s="1"/>
      <c r="M198" s="1"/>
    </row>
    <row r="199" spans="1:13" x14ac:dyDescent="0.15">
      <c r="A199" s="1"/>
      <c r="D199" s="1"/>
      <c r="E199" s="1"/>
      <c r="G199" s="1"/>
      <c r="I199" s="1"/>
      <c r="J199" s="1"/>
      <c r="M199" s="1"/>
    </row>
    <row r="200" spans="1:13" x14ac:dyDescent="0.15">
      <c r="A200" s="1"/>
      <c r="D200" s="1"/>
      <c r="E200" s="1"/>
      <c r="G200" s="1"/>
      <c r="I200" s="1"/>
      <c r="J200" s="1"/>
      <c r="M200" s="1"/>
    </row>
    <row r="201" spans="1:13" x14ac:dyDescent="0.15">
      <c r="A201" s="1"/>
      <c r="D201" s="1"/>
      <c r="E201" s="1"/>
      <c r="G201" s="1"/>
      <c r="I201" s="1"/>
      <c r="J201" s="1"/>
      <c r="M201" s="1"/>
    </row>
    <row r="202" spans="1:13" x14ac:dyDescent="0.15">
      <c r="A202" s="1"/>
      <c r="D202" s="1"/>
      <c r="E202" s="1"/>
      <c r="G202" s="1"/>
      <c r="I202" s="1"/>
      <c r="J202" s="1"/>
      <c r="M202" s="1"/>
    </row>
    <row r="203" spans="1:13" x14ac:dyDescent="0.15">
      <c r="A203" s="1"/>
      <c r="D203" s="1"/>
      <c r="E203" s="1"/>
      <c r="G203" s="1"/>
      <c r="I203" s="1"/>
      <c r="J203" s="1"/>
      <c r="M203" s="1"/>
    </row>
    <row r="204" spans="1:13" x14ac:dyDescent="0.15">
      <c r="A204" s="1"/>
      <c r="D204" s="1"/>
      <c r="E204" s="1"/>
      <c r="G204" s="1"/>
      <c r="I204" s="1"/>
      <c r="J204" s="1"/>
      <c r="M204" s="1"/>
    </row>
    <row r="205" spans="1:13" x14ac:dyDescent="0.15">
      <c r="A205" s="1"/>
      <c r="D205" s="1"/>
      <c r="E205" s="1"/>
      <c r="G205" s="1"/>
      <c r="I205" s="1"/>
      <c r="J205" s="1"/>
      <c r="M205" s="1"/>
    </row>
    <row r="206" spans="1:13" x14ac:dyDescent="0.15">
      <c r="A206" s="1"/>
      <c r="D206" s="1"/>
      <c r="E206" s="1"/>
      <c r="G206" s="1"/>
      <c r="I206" s="1"/>
      <c r="J206" s="1"/>
      <c r="M206" s="1"/>
    </row>
    <row r="207" spans="1:13" x14ac:dyDescent="0.15">
      <c r="A207" s="1"/>
      <c r="D207" s="1"/>
      <c r="E207" s="1"/>
      <c r="G207" s="1"/>
      <c r="I207" s="1"/>
      <c r="J207" s="1"/>
      <c r="M207" s="1"/>
    </row>
    <row r="208" spans="1:13" x14ac:dyDescent="0.15">
      <c r="A208" s="1"/>
      <c r="D208" s="1"/>
      <c r="E208" s="1"/>
      <c r="G208" s="1"/>
      <c r="I208" s="1"/>
      <c r="J208" s="1"/>
      <c r="M208" s="1"/>
    </row>
    <row r="209" spans="1:13" x14ac:dyDescent="0.15">
      <c r="A209" s="1"/>
      <c r="D209" s="1"/>
      <c r="E209" s="1"/>
      <c r="G209" s="1"/>
      <c r="I209" s="1"/>
      <c r="J209" s="1"/>
      <c r="M209" s="1"/>
    </row>
    <row r="210" spans="1:13" x14ac:dyDescent="0.15">
      <c r="A210" s="1"/>
      <c r="D210" s="1"/>
      <c r="E210" s="1"/>
      <c r="G210" s="1"/>
      <c r="I210" s="1"/>
      <c r="J210" s="1"/>
      <c r="M210" s="1"/>
    </row>
    <row r="211" spans="1:13" x14ac:dyDescent="0.15">
      <c r="A211" s="1"/>
      <c r="D211" s="1"/>
      <c r="E211" s="1"/>
      <c r="G211" s="1"/>
      <c r="I211" s="1"/>
      <c r="J211" s="1"/>
      <c r="M211" s="1"/>
    </row>
    <row r="212" spans="1:13" x14ac:dyDescent="0.15">
      <c r="A212" s="1"/>
      <c r="D212" s="1"/>
      <c r="E212" s="1"/>
      <c r="G212" s="1"/>
      <c r="I212" s="1"/>
      <c r="J212" s="1"/>
      <c r="M212" s="1"/>
    </row>
    <row r="213" spans="1:13" x14ac:dyDescent="0.15">
      <c r="A213" s="1"/>
      <c r="D213" s="1"/>
      <c r="E213" s="1"/>
      <c r="G213" s="1"/>
      <c r="I213" s="1"/>
      <c r="J213" s="1"/>
      <c r="M213" s="1"/>
    </row>
    <row r="214" spans="1:13" x14ac:dyDescent="0.15">
      <c r="A214" s="1"/>
      <c r="D214" s="1"/>
      <c r="E214" s="1"/>
      <c r="G214" s="1"/>
      <c r="I214" s="1"/>
      <c r="J214" s="1"/>
      <c r="M214" s="1"/>
    </row>
    <row r="215" spans="1:13" x14ac:dyDescent="0.15">
      <c r="A215" s="1"/>
      <c r="D215" s="1"/>
      <c r="E215" s="1"/>
      <c r="G215" s="1"/>
      <c r="I215" s="1"/>
      <c r="J215" s="1"/>
      <c r="M215" s="1"/>
    </row>
    <row r="216" spans="1:13" x14ac:dyDescent="0.15">
      <c r="A216" s="1"/>
      <c r="D216" s="1"/>
      <c r="E216" s="1"/>
      <c r="G216" s="1"/>
      <c r="I216" s="1"/>
      <c r="J216" s="1"/>
      <c r="M216" s="1"/>
    </row>
    <row r="217" spans="1:13" x14ac:dyDescent="0.15">
      <c r="A217" s="1"/>
      <c r="D217" s="1"/>
      <c r="E217" s="1"/>
      <c r="G217" s="1"/>
      <c r="I217" s="1"/>
      <c r="J217" s="1"/>
      <c r="M217" s="1"/>
    </row>
    <row r="218" spans="1:13" x14ac:dyDescent="0.15">
      <c r="A218" s="1"/>
      <c r="D218" s="1"/>
      <c r="E218" s="1"/>
      <c r="G218" s="1"/>
      <c r="I218" s="1"/>
      <c r="J218" s="1"/>
      <c r="M218" s="1"/>
    </row>
    <row r="219" spans="1:13" x14ac:dyDescent="0.15">
      <c r="A219" s="1"/>
      <c r="D219" s="1"/>
      <c r="E219" s="1"/>
      <c r="G219" s="1"/>
      <c r="I219" s="1"/>
      <c r="J219" s="1"/>
      <c r="M219" s="1"/>
    </row>
    <row r="220" spans="1:13" x14ac:dyDescent="0.15">
      <c r="A220" s="1"/>
      <c r="D220" s="1"/>
      <c r="E220" s="1"/>
      <c r="G220" s="1"/>
      <c r="I220" s="1"/>
      <c r="J220" s="1"/>
      <c r="M220" s="1"/>
    </row>
    <row r="221" spans="1:13" x14ac:dyDescent="0.15">
      <c r="A221" s="1"/>
      <c r="D221" s="1"/>
      <c r="E221" s="1"/>
      <c r="G221" s="1"/>
      <c r="I221" s="1"/>
      <c r="J221" s="1"/>
      <c r="M221" s="1"/>
    </row>
    <row r="222" spans="1:13" x14ac:dyDescent="0.15">
      <c r="A222" s="1"/>
      <c r="D222" s="1"/>
      <c r="E222" s="1"/>
      <c r="G222" s="1"/>
      <c r="I222" s="1"/>
      <c r="J222" s="1"/>
      <c r="M222" s="1"/>
    </row>
    <row r="223" spans="1:13" x14ac:dyDescent="0.15">
      <c r="A223" s="1"/>
      <c r="D223" s="1"/>
      <c r="E223" s="1"/>
      <c r="G223" s="1"/>
      <c r="I223" s="1"/>
      <c r="J223" s="1"/>
      <c r="M223" s="1"/>
    </row>
    <row r="224" spans="1:13" x14ac:dyDescent="0.15">
      <c r="A224" s="1"/>
      <c r="D224" s="1"/>
      <c r="E224" s="1"/>
      <c r="G224" s="1"/>
      <c r="I224" s="1"/>
      <c r="J224" s="1"/>
      <c r="M224" s="1"/>
    </row>
    <row r="225" spans="1:13" x14ac:dyDescent="0.15">
      <c r="A225" s="1"/>
      <c r="D225" s="1"/>
      <c r="E225" s="1"/>
      <c r="G225" s="1"/>
      <c r="I225" s="1"/>
      <c r="J225" s="1"/>
      <c r="M225" s="1"/>
    </row>
    <row r="226" spans="1:13" x14ac:dyDescent="0.15">
      <c r="A226" s="1"/>
      <c r="D226" s="1"/>
      <c r="E226" s="1"/>
      <c r="G226" s="1"/>
      <c r="I226" s="1"/>
      <c r="J226" s="1"/>
      <c r="M226" s="1"/>
    </row>
    <row r="227" spans="1:13" x14ac:dyDescent="0.15">
      <c r="A227" s="1"/>
      <c r="D227" s="1"/>
      <c r="E227" s="1"/>
      <c r="G227" s="1"/>
      <c r="I227" s="1"/>
      <c r="J227" s="1"/>
      <c r="M227" s="1"/>
    </row>
    <row r="228" spans="1:13" x14ac:dyDescent="0.15">
      <c r="A228" s="1"/>
      <c r="D228" s="1"/>
      <c r="E228" s="1"/>
      <c r="G228" s="1"/>
      <c r="I228" s="1"/>
      <c r="J228" s="1"/>
      <c r="M228" s="1"/>
    </row>
    <row r="229" spans="1:13" x14ac:dyDescent="0.15">
      <c r="A229" s="1"/>
      <c r="D229" s="1"/>
      <c r="E229" s="1"/>
      <c r="G229" s="1"/>
      <c r="I229" s="1"/>
      <c r="J229" s="1"/>
      <c r="M229" s="1"/>
    </row>
    <row r="230" spans="1:13" x14ac:dyDescent="0.15">
      <c r="A230" s="1"/>
      <c r="D230" s="1"/>
      <c r="E230" s="1"/>
      <c r="G230" s="1"/>
      <c r="I230" s="1"/>
      <c r="J230" s="1"/>
      <c r="M230" s="1"/>
    </row>
    <row r="231" spans="1:13" x14ac:dyDescent="0.15">
      <c r="A231" s="1"/>
      <c r="D231" s="1"/>
      <c r="E231" s="1"/>
      <c r="G231" s="1"/>
      <c r="I231" s="1"/>
      <c r="J231" s="1"/>
      <c r="M231" s="1"/>
    </row>
    <row r="232" spans="1:13" x14ac:dyDescent="0.15">
      <c r="A232" s="1"/>
      <c r="D232" s="1"/>
      <c r="E232" s="1"/>
      <c r="G232" s="1"/>
      <c r="I232" s="1"/>
      <c r="J232" s="1"/>
      <c r="M232" s="1"/>
    </row>
    <row r="233" spans="1:13" x14ac:dyDescent="0.15">
      <c r="A233" s="1"/>
      <c r="D233" s="1"/>
      <c r="E233" s="1"/>
      <c r="G233" s="1"/>
      <c r="I233" s="1"/>
      <c r="J233" s="1"/>
      <c r="M233" s="1"/>
    </row>
    <row r="234" spans="1:13" x14ac:dyDescent="0.15">
      <c r="A234" s="1"/>
      <c r="D234" s="1"/>
      <c r="E234" s="1"/>
      <c r="G234" s="1"/>
      <c r="I234" s="1"/>
      <c r="J234" s="1"/>
      <c r="M234" s="1"/>
    </row>
    <row r="235" spans="1:13" x14ac:dyDescent="0.15">
      <c r="A235" s="1"/>
      <c r="D235" s="1"/>
      <c r="E235" s="1"/>
      <c r="G235" s="1"/>
      <c r="I235" s="1"/>
      <c r="J235" s="1"/>
      <c r="M235" s="1"/>
    </row>
    <row r="236" spans="1:13" x14ac:dyDescent="0.15">
      <c r="A236" s="1"/>
      <c r="D236" s="1"/>
      <c r="E236" s="1"/>
      <c r="G236" s="1"/>
      <c r="I236" s="1"/>
      <c r="J236" s="1"/>
      <c r="M236" s="1"/>
    </row>
    <row r="237" spans="1:13" x14ac:dyDescent="0.15">
      <c r="A237" s="1"/>
      <c r="D237" s="1"/>
      <c r="E237" s="1"/>
      <c r="G237" s="1"/>
      <c r="I237" s="1"/>
      <c r="J237" s="1"/>
      <c r="M237" s="1"/>
    </row>
    <row r="238" spans="1:13" x14ac:dyDescent="0.15">
      <c r="A238" s="1"/>
      <c r="D238" s="1"/>
      <c r="E238" s="1"/>
      <c r="G238" s="1"/>
      <c r="I238" s="1"/>
      <c r="J238" s="1"/>
      <c r="M238" s="1"/>
    </row>
    <row r="239" spans="1:13" x14ac:dyDescent="0.15">
      <c r="A239" s="1"/>
      <c r="D239" s="1"/>
      <c r="E239" s="1"/>
      <c r="G239" s="1"/>
      <c r="I239" s="1"/>
      <c r="J239" s="1"/>
      <c r="M239" s="1"/>
    </row>
    <row r="240" spans="1:13" x14ac:dyDescent="0.15">
      <c r="A240" s="1"/>
      <c r="D240" s="1"/>
      <c r="E240" s="1"/>
      <c r="G240" s="1"/>
      <c r="I240" s="1"/>
      <c r="J240" s="1"/>
      <c r="M240" s="1"/>
    </row>
    <row r="241" spans="1:13" x14ac:dyDescent="0.15">
      <c r="A241" s="1"/>
      <c r="D241" s="1"/>
      <c r="E241" s="1"/>
      <c r="G241" s="1"/>
      <c r="I241" s="1"/>
      <c r="J241" s="1"/>
      <c r="M241" s="1"/>
    </row>
    <row r="242" spans="1:13" x14ac:dyDescent="0.15">
      <c r="A242" s="1"/>
      <c r="D242" s="1"/>
      <c r="E242" s="1"/>
      <c r="G242" s="1"/>
      <c r="I242" s="1"/>
      <c r="J242" s="1"/>
      <c r="M242" s="1"/>
    </row>
    <row r="243" spans="1:13" x14ac:dyDescent="0.15">
      <c r="A243" s="1"/>
      <c r="D243" s="1"/>
      <c r="E243" s="1"/>
      <c r="G243" s="1"/>
      <c r="I243" s="1"/>
      <c r="J243" s="1"/>
      <c r="M243" s="1"/>
    </row>
    <row r="244" spans="1:13" x14ac:dyDescent="0.15">
      <c r="A244" s="1"/>
      <c r="D244" s="1"/>
      <c r="E244" s="1"/>
      <c r="G244" s="1"/>
      <c r="I244" s="1"/>
      <c r="J244" s="1"/>
      <c r="M244" s="1"/>
    </row>
    <row r="245" spans="1:13" x14ac:dyDescent="0.15">
      <c r="A245" s="1"/>
      <c r="D245" s="1"/>
      <c r="E245" s="1"/>
      <c r="G245" s="1"/>
      <c r="I245" s="1"/>
      <c r="J245" s="1"/>
      <c r="M245" s="1"/>
    </row>
    <row r="246" spans="1:13" x14ac:dyDescent="0.15">
      <c r="A246" s="1"/>
      <c r="D246" s="1"/>
      <c r="E246" s="1"/>
      <c r="G246" s="1"/>
      <c r="I246" s="1"/>
      <c r="J246" s="1"/>
      <c r="M246" s="1"/>
    </row>
    <row r="247" spans="1:13" x14ac:dyDescent="0.15">
      <c r="A247" s="1"/>
      <c r="D247" s="1"/>
      <c r="E247" s="1"/>
      <c r="G247" s="1"/>
      <c r="I247" s="1"/>
      <c r="J247" s="1"/>
      <c r="M247" s="1"/>
    </row>
    <row r="248" spans="1:13" x14ac:dyDescent="0.15">
      <c r="A248" s="1"/>
      <c r="D248" s="1"/>
      <c r="E248" s="1"/>
      <c r="G248" s="1"/>
      <c r="I248" s="1"/>
      <c r="J248" s="1"/>
      <c r="M248" s="1"/>
    </row>
    <row r="249" spans="1:13" x14ac:dyDescent="0.15">
      <c r="A249" s="1"/>
      <c r="D249" s="1"/>
      <c r="E249" s="1"/>
      <c r="G249" s="1"/>
      <c r="I249" s="1"/>
      <c r="J249" s="1"/>
      <c r="M249" s="1"/>
    </row>
    <row r="250" spans="1:13" x14ac:dyDescent="0.15">
      <c r="A250" s="1"/>
      <c r="D250" s="1"/>
      <c r="E250" s="1"/>
      <c r="G250" s="1"/>
      <c r="I250" s="1"/>
      <c r="J250" s="1"/>
      <c r="M250" s="1"/>
    </row>
    <row r="251" spans="1:13" x14ac:dyDescent="0.15">
      <c r="A251" s="1"/>
      <c r="D251" s="1"/>
      <c r="E251" s="1"/>
      <c r="G251" s="1"/>
      <c r="I251" s="1"/>
      <c r="J251" s="1"/>
      <c r="M251" s="1"/>
    </row>
    <row r="252" spans="1:13" x14ac:dyDescent="0.15">
      <c r="A252" s="1"/>
      <c r="D252" s="1"/>
      <c r="E252" s="1"/>
      <c r="G252" s="1"/>
      <c r="I252" s="1"/>
      <c r="J252" s="1"/>
      <c r="M252" s="1"/>
    </row>
    <row r="253" spans="1:13" x14ac:dyDescent="0.15">
      <c r="A253" s="1"/>
      <c r="D253" s="1"/>
      <c r="E253" s="1"/>
      <c r="G253" s="1"/>
      <c r="I253" s="1"/>
      <c r="J253" s="1"/>
      <c r="M253" s="1"/>
    </row>
    <row r="254" spans="1:13" x14ac:dyDescent="0.15">
      <c r="A254" s="1"/>
      <c r="D254" s="1"/>
      <c r="E254" s="1"/>
      <c r="G254" s="1"/>
      <c r="I254" s="1"/>
      <c r="J254" s="1"/>
      <c r="M254" s="1"/>
    </row>
    <row r="255" spans="1:13" x14ac:dyDescent="0.15">
      <c r="A255" s="1"/>
      <c r="D255" s="1"/>
      <c r="E255" s="1"/>
      <c r="G255" s="1"/>
      <c r="I255" s="1"/>
      <c r="J255" s="1"/>
      <c r="M255" s="1"/>
    </row>
    <row r="256" spans="1:13" x14ac:dyDescent="0.15">
      <c r="A256" s="1"/>
      <c r="D256" s="1"/>
      <c r="E256" s="1"/>
      <c r="G256" s="1"/>
      <c r="I256" s="1"/>
      <c r="J256" s="1"/>
      <c r="M256" s="1"/>
    </row>
    <row r="257" spans="1:13" x14ac:dyDescent="0.15">
      <c r="A257" s="1"/>
      <c r="D257" s="1"/>
      <c r="E257" s="1"/>
      <c r="G257" s="1"/>
      <c r="I257" s="1"/>
      <c r="J257" s="1"/>
      <c r="M257" s="1"/>
    </row>
    <row r="258" spans="1:13" x14ac:dyDescent="0.15">
      <c r="A258" s="1"/>
      <c r="D258" s="1"/>
      <c r="E258" s="1"/>
      <c r="G258" s="1"/>
      <c r="I258" s="1"/>
      <c r="J258" s="1"/>
      <c r="M258" s="1"/>
    </row>
    <row r="259" spans="1:13" x14ac:dyDescent="0.15">
      <c r="A259" s="1"/>
      <c r="D259" s="1"/>
      <c r="E259" s="1"/>
      <c r="G259" s="1"/>
      <c r="I259" s="1"/>
      <c r="J259" s="1"/>
      <c r="M259" s="1"/>
    </row>
    <row r="260" spans="1:13" x14ac:dyDescent="0.15">
      <c r="A260" s="1"/>
      <c r="D260" s="1"/>
      <c r="E260" s="1"/>
      <c r="G260" s="1"/>
      <c r="I260" s="1"/>
      <c r="J260" s="1"/>
      <c r="M260" s="1"/>
    </row>
    <row r="261" spans="1:13" x14ac:dyDescent="0.15">
      <c r="A261" s="1"/>
      <c r="D261" s="1"/>
      <c r="E261" s="1"/>
      <c r="G261" s="1"/>
      <c r="I261" s="1"/>
      <c r="J261" s="1"/>
      <c r="M261" s="1"/>
    </row>
    <row r="262" spans="1:13" x14ac:dyDescent="0.15">
      <c r="A262" s="1"/>
      <c r="D262" s="1"/>
      <c r="E262" s="1"/>
      <c r="G262" s="1"/>
      <c r="I262" s="1"/>
      <c r="J262" s="1"/>
      <c r="M262" s="1"/>
    </row>
    <row r="263" spans="1:13" x14ac:dyDescent="0.15">
      <c r="A263" s="1"/>
      <c r="D263" s="1"/>
      <c r="E263" s="1"/>
      <c r="G263" s="1"/>
      <c r="I263" s="1"/>
      <c r="J263" s="1"/>
      <c r="M263" s="1"/>
    </row>
    <row r="264" spans="1:13" x14ac:dyDescent="0.15">
      <c r="A264" s="1"/>
      <c r="D264" s="1"/>
      <c r="E264" s="1"/>
      <c r="G264" s="1"/>
      <c r="I264" s="1"/>
      <c r="J264" s="1"/>
      <c r="M264" s="1"/>
    </row>
    <row r="265" spans="1:13" x14ac:dyDescent="0.15">
      <c r="A265" s="1"/>
      <c r="D265" s="1"/>
      <c r="E265" s="1"/>
      <c r="G265" s="1"/>
      <c r="I265" s="1"/>
      <c r="J265" s="1"/>
      <c r="M265" s="1"/>
    </row>
    <row r="266" spans="1:13" x14ac:dyDescent="0.15">
      <c r="A266" s="1"/>
      <c r="D266" s="1"/>
      <c r="E266" s="1"/>
      <c r="G266" s="1"/>
      <c r="I266" s="1"/>
      <c r="J266" s="1"/>
      <c r="M266" s="1"/>
    </row>
    <row r="267" spans="1:13" x14ac:dyDescent="0.15">
      <c r="A267" s="1"/>
      <c r="D267" s="1"/>
      <c r="E267" s="1"/>
      <c r="G267" s="1"/>
      <c r="I267" s="1"/>
      <c r="J267" s="1"/>
      <c r="M267" s="1"/>
    </row>
    <row r="268" spans="1:13" x14ac:dyDescent="0.15">
      <c r="A268" s="1"/>
      <c r="D268" s="1"/>
      <c r="E268" s="1"/>
      <c r="G268" s="1"/>
      <c r="I268" s="1"/>
      <c r="J268" s="1"/>
      <c r="M268" s="1"/>
    </row>
    <row r="269" spans="1:13" x14ac:dyDescent="0.15">
      <c r="A269" s="1"/>
      <c r="D269" s="1"/>
      <c r="E269" s="1"/>
      <c r="G269" s="1"/>
      <c r="I269" s="1"/>
      <c r="J269" s="1"/>
      <c r="M269" s="1"/>
    </row>
    <row r="270" spans="1:13" x14ac:dyDescent="0.15">
      <c r="A270" s="1"/>
      <c r="D270" s="1"/>
      <c r="E270" s="1"/>
      <c r="G270" s="1"/>
      <c r="I270" s="1"/>
      <c r="J270" s="1"/>
      <c r="M270" s="1"/>
    </row>
    <row r="271" spans="1:13" x14ac:dyDescent="0.15">
      <c r="A271" s="1"/>
      <c r="D271" s="1"/>
      <c r="E271" s="1"/>
      <c r="G271" s="1"/>
      <c r="I271" s="1"/>
      <c r="J271" s="1"/>
      <c r="M271" s="1"/>
    </row>
    <row r="272" spans="1:13" x14ac:dyDescent="0.15">
      <c r="A272" s="1"/>
      <c r="D272" s="1"/>
      <c r="E272" s="1"/>
      <c r="G272" s="1"/>
      <c r="I272" s="1"/>
      <c r="J272" s="1"/>
      <c r="M272" s="1"/>
    </row>
    <row r="273" spans="1:13" x14ac:dyDescent="0.15">
      <c r="A273" s="1"/>
      <c r="D273" s="1"/>
      <c r="E273" s="1"/>
      <c r="G273" s="1"/>
      <c r="I273" s="1"/>
      <c r="J273" s="1"/>
      <c r="M273" s="1"/>
    </row>
    <row r="274" spans="1:13" x14ac:dyDescent="0.15">
      <c r="A274" s="1"/>
      <c r="D274" s="1"/>
      <c r="E274" s="1"/>
      <c r="G274" s="1"/>
      <c r="I274" s="1"/>
      <c r="J274" s="1"/>
      <c r="M274" s="1"/>
    </row>
    <row r="275" spans="1:13" x14ac:dyDescent="0.15">
      <c r="A275" s="1"/>
      <c r="D275" s="1"/>
      <c r="E275" s="1"/>
      <c r="G275" s="1"/>
      <c r="I275" s="1"/>
      <c r="J275" s="1"/>
      <c r="M275" s="1"/>
    </row>
    <row r="276" spans="1:13" x14ac:dyDescent="0.15">
      <c r="A276" s="1"/>
      <c r="D276" s="1"/>
      <c r="E276" s="1"/>
      <c r="G276" s="1"/>
      <c r="I276" s="1"/>
      <c r="J276" s="1"/>
      <c r="M276" s="1"/>
    </row>
    <row r="277" spans="1:13" x14ac:dyDescent="0.15">
      <c r="A277" s="1"/>
      <c r="D277" s="1"/>
      <c r="E277" s="1"/>
      <c r="G277" s="1"/>
      <c r="I277" s="1"/>
      <c r="J277" s="1"/>
      <c r="M277" s="1"/>
    </row>
    <row r="278" spans="1:13" x14ac:dyDescent="0.15">
      <c r="A278" s="1"/>
      <c r="D278" s="1"/>
      <c r="E278" s="1"/>
      <c r="G278" s="1"/>
      <c r="I278" s="1"/>
      <c r="J278" s="1"/>
      <c r="M278" s="1"/>
    </row>
    <row r="279" spans="1:13" x14ac:dyDescent="0.15">
      <c r="A279" s="1"/>
      <c r="D279" s="1"/>
      <c r="E279" s="1"/>
      <c r="G279" s="1"/>
      <c r="I279" s="1"/>
      <c r="J279" s="1"/>
      <c r="M279" s="1"/>
    </row>
    <row r="280" spans="1:13" x14ac:dyDescent="0.15">
      <c r="A280" s="1"/>
      <c r="D280" s="1"/>
      <c r="E280" s="1"/>
      <c r="G280" s="1"/>
      <c r="I280" s="1"/>
      <c r="J280" s="1"/>
      <c r="M280" s="1"/>
    </row>
    <row r="281" spans="1:13" x14ac:dyDescent="0.15">
      <c r="A281" s="1"/>
      <c r="D281" s="1"/>
      <c r="E281" s="1"/>
      <c r="G281" s="1"/>
      <c r="I281" s="1"/>
      <c r="J281" s="1"/>
      <c r="M281" s="1"/>
    </row>
    <row r="282" spans="1:13" x14ac:dyDescent="0.15">
      <c r="A282" s="1"/>
      <c r="D282" s="1"/>
      <c r="E282" s="1"/>
      <c r="G282" s="1"/>
      <c r="I282" s="1"/>
      <c r="J282" s="1"/>
      <c r="M282" s="1"/>
    </row>
    <row r="283" spans="1:13" x14ac:dyDescent="0.15">
      <c r="A283" s="1"/>
      <c r="D283" s="1"/>
      <c r="E283" s="1"/>
      <c r="G283" s="1"/>
      <c r="I283" s="1"/>
      <c r="J283" s="1"/>
      <c r="M283" s="1"/>
    </row>
    <row r="284" spans="1:13" x14ac:dyDescent="0.15">
      <c r="A284" s="1"/>
      <c r="D284" s="1"/>
      <c r="E284" s="1"/>
      <c r="G284" s="1"/>
      <c r="I284" s="1"/>
      <c r="J284" s="1"/>
      <c r="M284" s="1"/>
    </row>
    <row r="285" spans="1:13" x14ac:dyDescent="0.15">
      <c r="A285" s="1"/>
      <c r="D285" s="1"/>
      <c r="E285" s="1"/>
      <c r="G285" s="1"/>
      <c r="I285" s="1"/>
      <c r="J285" s="1"/>
      <c r="M285" s="1"/>
    </row>
    <row r="286" spans="1:13" x14ac:dyDescent="0.15">
      <c r="A286" s="1"/>
      <c r="D286" s="1"/>
      <c r="E286" s="1"/>
      <c r="G286" s="1"/>
      <c r="I286" s="1"/>
      <c r="J286" s="1"/>
      <c r="M286" s="1"/>
    </row>
    <row r="287" spans="1:13" x14ac:dyDescent="0.15">
      <c r="A287" s="1"/>
      <c r="D287" s="1"/>
      <c r="E287" s="1"/>
      <c r="G287" s="1"/>
      <c r="I287" s="1"/>
      <c r="J287" s="1"/>
      <c r="M287" s="1"/>
    </row>
    <row r="288" spans="1:13" x14ac:dyDescent="0.15">
      <c r="A288" s="1"/>
      <c r="D288" s="1"/>
      <c r="E288" s="1"/>
      <c r="G288" s="1"/>
      <c r="I288" s="1"/>
      <c r="J288" s="1"/>
      <c r="M288" s="1"/>
    </row>
    <row r="289" spans="1:13" x14ac:dyDescent="0.15">
      <c r="A289" s="1"/>
      <c r="D289" s="1"/>
      <c r="E289" s="1"/>
      <c r="G289" s="1"/>
      <c r="I289" s="1"/>
      <c r="J289" s="1"/>
      <c r="M289" s="1"/>
    </row>
    <row r="290" spans="1:13" x14ac:dyDescent="0.15">
      <c r="A290" s="1"/>
      <c r="D290" s="1"/>
      <c r="E290" s="1"/>
      <c r="G290" s="1"/>
      <c r="I290" s="1"/>
      <c r="J290" s="1"/>
      <c r="M290" s="1"/>
    </row>
    <row r="291" spans="1:13" x14ac:dyDescent="0.15">
      <c r="A291" s="1"/>
      <c r="D291" s="1"/>
      <c r="E291" s="1"/>
      <c r="G291" s="1"/>
      <c r="I291" s="1"/>
      <c r="J291" s="1"/>
      <c r="M291" s="1"/>
    </row>
    <row r="292" spans="1:13" x14ac:dyDescent="0.15">
      <c r="A292" s="1"/>
      <c r="D292" s="1"/>
      <c r="E292" s="1"/>
      <c r="G292" s="1"/>
      <c r="I292" s="1"/>
      <c r="J292" s="1"/>
      <c r="M292" s="1"/>
    </row>
    <row r="293" spans="1:13" x14ac:dyDescent="0.15">
      <c r="A293" s="1"/>
      <c r="D293" s="1"/>
      <c r="E293" s="1"/>
      <c r="G293" s="1"/>
      <c r="I293" s="1"/>
      <c r="J293" s="1"/>
      <c r="M293" s="1"/>
    </row>
    <row r="294" spans="1:13" x14ac:dyDescent="0.15">
      <c r="A294" s="1"/>
      <c r="D294" s="1"/>
      <c r="E294" s="1"/>
      <c r="G294" s="1"/>
      <c r="I294" s="1"/>
      <c r="J294" s="1"/>
      <c r="M294" s="1"/>
    </row>
    <row r="295" spans="1:13" x14ac:dyDescent="0.15">
      <c r="A295" s="1"/>
      <c r="D295" s="1"/>
      <c r="E295" s="1"/>
      <c r="G295" s="1"/>
      <c r="I295" s="1"/>
      <c r="J295" s="1"/>
      <c r="M295" s="1"/>
    </row>
    <row r="296" spans="1:13" x14ac:dyDescent="0.15">
      <c r="A296" s="1"/>
      <c r="D296" s="1"/>
      <c r="E296" s="1"/>
      <c r="G296" s="1"/>
      <c r="I296" s="1"/>
      <c r="J296" s="1"/>
      <c r="M296" s="1"/>
    </row>
    <row r="297" spans="1:13" x14ac:dyDescent="0.15">
      <c r="A297" s="1"/>
      <c r="D297" s="1"/>
      <c r="E297" s="1"/>
      <c r="G297" s="1"/>
      <c r="I297" s="1"/>
      <c r="J297" s="1"/>
      <c r="M297" s="1"/>
    </row>
    <row r="298" spans="1:13" x14ac:dyDescent="0.15">
      <c r="A298" s="1"/>
      <c r="D298" s="1"/>
      <c r="E298" s="1"/>
      <c r="G298" s="1"/>
      <c r="I298" s="1"/>
      <c r="J298" s="1"/>
      <c r="M298" s="1"/>
    </row>
    <row r="299" spans="1:13" x14ac:dyDescent="0.15">
      <c r="A299" s="1"/>
      <c r="D299" s="1"/>
      <c r="E299" s="1"/>
      <c r="G299" s="1"/>
      <c r="I299" s="1"/>
      <c r="J299" s="1"/>
      <c r="M299" s="1"/>
    </row>
    <row r="300" spans="1:13" x14ac:dyDescent="0.15">
      <c r="A300" s="1"/>
      <c r="D300" s="1"/>
      <c r="E300" s="1"/>
      <c r="G300" s="1"/>
      <c r="I300" s="1"/>
      <c r="J300" s="1"/>
      <c r="M300" s="1"/>
    </row>
    <row r="301" spans="1:13" x14ac:dyDescent="0.15">
      <c r="A301" s="1"/>
      <c r="D301" s="1"/>
      <c r="E301" s="1"/>
      <c r="G301" s="1"/>
      <c r="I301" s="1"/>
      <c r="J301" s="1"/>
      <c r="M301" s="1"/>
    </row>
    <row r="302" spans="1:13" x14ac:dyDescent="0.15">
      <c r="A302" s="1"/>
      <c r="D302" s="1"/>
      <c r="E302" s="1"/>
      <c r="G302" s="1"/>
      <c r="I302" s="1"/>
      <c r="J302" s="1"/>
      <c r="M302" s="1"/>
    </row>
    <row r="303" spans="1:13" x14ac:dyDescent="0.15">
      <c r="A303" s="1"/>
      <c r="D303" s="1"/>
      <c r="E303" s="1"/>
      <c r="G303" s="1"/>
      <c r="I303" s="1"/>
      <c r="J303" s="1"/>
      <c r="M303" s="1"/>
    </row>
    <row r="304" spans="1:13" x14ac:dyDescent="0.15">
      <c r="A304" s="1"/>
      <c r="D304" s="1"/>
      <c r="E304" s="1"/>
      <c r="G304" s="1"/>
      <c r="I304" s="1"/>
      <c r="J304" s="1"/>
      <c r="M304" s="1"/>
    </row>
    <row r="305" spans="1:13" x14ac:dyDescent="0.15">
      <c r="A305" s="1"/>
      <c r="D305" s="1"/>
      <c r="E305" s="1"/>
      <c r="G305" s="1"/>
      <c r="I305" s="1"/>
      <c r="J305" s="1"/>
      <c r="M305" s="1"/>
    </row>
    <row r="306" spans="1:13" x14ac:dyDescent="0.15">
      <c r="A306" s="1"/>
      <c r="D306" s="1"/>
      <c r="E306" s="1"/>
      <c r="G306" s="1"/>
      <c r="I306" s="1"/>
      <c r="J306" s="1"/>
      <c r="M306" s="1"/>
    </row>
    <row r="307" spans="1:13" x14ac:dyDescent="0.15">
      <c r="A307" s="1"/>
      <c r="D307" s="1"/>
      <c r="E307" s="1"/>
      <c r="G307" s="1"/>
      <c r="I307" s="1"/>
      <c r="J307" s="1"/>
      <c r="M307" s="1"/>
    </row>
    <row r="308" spans="1:13" x14ac:dyDescent="0.15">
      <c r="A308" s="1"/>
      <c r="D308" s="1"/>
      <c r="E308" s="1"/>
      <c r="G308" s="1"/>
      <c r="I308" s="1"/>
      <c r="J308" s="1"/>
      <c r="M308" s="1"/>
    </row>
    <row r="309" spans="1:13" x14ac:dyDescent="0.15">
      <c r="A309" s="1"/>
      <c r="D309" s="1"/>
      <c r="E309" s="1"/>
      <c r="G309" s="1"/>
      <c r="I309" s="1"/>
      <c r="J309" s="1"/>
      <c r="M309" s="1"/>
    </row>
    <row r="310" spans="1:13" x14ac:dyDescent="0.15">
      <c r="A310" s="1"/>
      <c r="D310" s="1"/>
      <c r="E310" s="1"/>
      <c r="G310" s="1"/>
      <c r="I310" s="1"/>
      <c r="J310" s="1"/>
      <c r="M310" s="1"/>
    </row>
    <row r="311" spans="1:13" x14ac:dyDescent="0.15">
      <c r="A311" s="1"/>
      <c r="D311" s="1"/>
      <c r="E311" s="1"/>
      <c r="G311" s="1"/>
      <c r="I311" s="1"/>
      <c r="J311" s="1"/>
      <c r="M311" s="1"/>
    </row>
    <row r="312" spans="1:13" x14ac:dyDescent="0.15">
      <c r="A312" s="1"/>
      <c r="D312" s="1"/>
      <c r="E312" s="1"/>
      <c r="G312" s="1"/>
      <c r="I312" s="1"/>
      <c r="J312" s="1"/>
      <c r="M312" s="1"/>
    </row>
    <row r="313" spans="1:13" x14ac:dyDescent="0.15">
      <c r="A313" s="1"/>
      <c r="D313" s="1"/>
      <c r="E313" s="1"/>
      <c r="G313" s="1"/>
      <c r="I313" s="1"/>
      <c r="J313" s="1"/>
      <c r="M313" s="1"/>
    </row>
    <row r="314" spans="1:13" x14ac:dyDescent="0.15">
      <c r="A314" s="1"/>
      <c r="D314" s="1"/>
      <c r="E314" s="1"/>
      <c r="G314" s="1"/>
      <c r="I314" s="1"/>
      <c r="J314" s="1"/>
      <c r="M314" s="1"/>
    </row>
    <row r="315" spans="1:13" x14ac:dyDescent="0.15">
      <c r="A315" s="1"/>
      <c r="D315" s="1"/>
      <c r="E315" s="1"/>
      <c r="G315" s="1"/>
      <c r="I315" s="1"/>
      <c r="J315" s="1"/>
      <c r="M315" s="1"/>
    </row>
    <row r="316" spans="1:13" x14ac:dyDescent="0.15">
      <c r="A316" s="1"/>
      <c r="D316" s="1"/>
      <c r="E316" s="1"/>
      <c r="G316" s="1"/>
      <c r="I316" s="1"/>
      <c r="J316" s="1"/>
      <c r="M316" s="1"/>
    </row>
    <row r="317" spans="1:13" x14ac:dyDescent="0.15">
      <c r="A317" s="1"/>
      <c r="D317" s="1"/>
      <c r="E317" s="1"/>
      <c r="G317" s="1"/>
      <c r="I317" s="1"/>
      <c r="J317" s="1"/>
      <c r="M317" s="1"/>
    </row>
    <row r="318" spans="1:13" x14ac:dyDescent="0.15">
      <c r="A318" s="1"/>
      <c r="D318" s="1"/>
      <c r="E318" s="1"/>
      <c r="G318" s="1"/>
      <c r="I318" s="1"/>
      <c r="J318" s="1"/>
      <c r="M318" s="1"/>
    </row>
    <row r="319" spans="1:13" x14ac:dyDescent="0.15">
      <c r="A319" s="1"/>
      <c r="D319" s="1"/>
      <c r="E319" s="1"/>
      <c r="G319" s="1"/>
      <c r="I319" s="1"/>
      <c r="J319" s="1"/>
      <c r="M319" s="1"/>
    </row>
    <row r="320" spans="1:13" x14ac:dyDescent="0.15">
      <c r="A320" s="1"/>
      <c r="D320" s="1"/>
      <c r="E320" s="1"/>
      <c r="G320" s="1"/>
      <c r="I320" s="1"/>
      <c r="J320" s="1"/>
      <c r="M320" s="1"/>
    </row>
    <row r="321" spans="1:13" x14ac:dyDescent="0.15">
      <c r="A321" s="1"/>
      <c r="D321" s="1"/>
      <c r="E321" s="1"/>
      <c r="G321" s="1"/>
      <c r="I321" s="1"/>
      <c r="J321" s="1"/>
      <c r="M321" s="1"/>
    </row>
    <row r="322" spans="1:13" x14ac:dyDescent="0.15">
      <c r="A322" s="1"/>
      <c r="D322" s="1"/>
      <c r="E322" s="1"/>
      <c r="G322" s="1"/>
      <c r="I322" s="1"/>
      <c r="J322" s="1"/>
      <c r="M322" s="1"/>
    </row>
    <row r="323" spans="1:13" x14ac:dyDescent="0.15">
      <c r="A323" s="1"/>
      <c r="D323" s="1"/>
      <c r="E323" s="1"/>
      <c r="G323" s="1"/>
      <c r="I323" s="1"/>
      <c r="J323" s="1"/>
      <c r="M323" s="1"/>
    </row>
    <row r="324" spans="1:13" x14ac:dyDescent="0.15">
      <c r="A324" s="1"/>
      <c r="D324" s="1"/>
      <c r="E324" s="1"/>
      <c r="G324" s="1"/>
      <c r="I324" s="1"/>
      <c r="J324" s="1"/>
      <c r="M324" s="1"/>
    </row>
    <row r="325" spans="1:13" x14ac:dyDescent="0.15">
      <c r="A325" s="1"/>
      <c r="D325" s="1"/>
      <c r="E325" s="1"/>
      <c r="G325" s="1"/>
      <c r="I325" s="1"/>
      <c r="J325" s="1"/>
      <c r="M325" s="1"/>
    </row>
    <row r="326" spans="1:13" x14ac:dyDescent="0.15">
      <c r="A326" s="1"/>
      <c r="D326" s="1"/>
      <c r="E326" s="1"/>
      <c r="G326" s="1"/>
      <c r="I326" s="1"/>
      <c r="J326" s="1"/>
      <c r="M326" s="1"/>
    </row>
    <row r="327" spans="1:13" x14ac:dyDescent="0.15">
      <c r="A327" s="1"/>
      <c r="D327" s="1"/>
      <c r="E327" s="1"/>
      <c r="G327" s="1"/>
      <c r="I327" s="1"/>
      <c r="J327" s="1"/>
      <c r="M327" s="1"/>
    </row>
    <row r="328" spans="1:13" x14ac:dyDescent="0.15">
      <c r="A328" s="1"/>
      <c r="D328" s="1"/>
      <c r="E328" s="1"/>
      <c r="G328" s="1"/>
      <c r="I328" s="1"/>
      <c r="J328" s="1"/>
      <c r="M328" s="1"/>
    </row>
    <row r="329" spans="1:13" x14ac:dyDescent="0.15">
      <c r="A329" s="1"/>
      <c r="D329" s="1"/>
      <c r="E329" s="1"/>
      <c r="G329" s="1"/>
      <c r="I329" s="1"/>
      <c r="J329" s="1"/>
      <c r="M329" s="1"/>
    </row>
    <row r="330" spans="1:13" x14ac:dyDescent="0.15">
      <c r="A330" s="1"/>
      <c r="D330" s="1"/>
      <c r="E330" s="1"/>
      <c r="G330" s="1"/>
      <c r="I330" s="1"/>
      <c r="J330" s="1"/>
      <c r="M330" s="1"/>
    </row>
    <row r="331" spans="1:13" x14ac:dyDescent="0.15">
      <c r="A331" s="1"/>
      <c r="D331" s="1"/>
      <c r="E331" s="1"/>
      <c r="G331" s="1"/>
      <c r="I331" s="1"/>
      <c r="J331" s="1"/>
      <c r="M331" s="1"/>
    </row>
    <row r="332" spans="1:13" x14ac:dyDescent="0.15">
      <c r="A332" s="1"/>
      <c r="D332" s="1"/>
      <c r="E332" s="1"/>
      <c r="G332" s="1"/>
      <c r="I332" s="1"/>
      <c r="J332" s="1"/>
      <c r="M332" s="1"/>
    </row>
    <row r="333" spans="1:13" x14ac:dyDescent="0.15">
      <c r="A333" s="1"/>
      <c r="D333" s="1"/>
      <c r="E333" s="1"/>
      <c r="G333" s="1"/>
      <c r="I333" s="1"/>
      <c r="J333" s="1"/>
      <c r="M333" s="1"/>
    </row>
    <row r="334" spans="1:13" x14ac:dyDescent="0.15">
      <c r="A334" s="1"/>
      <c r="D334" s="1"/>
      <c r="E334" s="1"/>
      <c r="G334" s="1"/>
      <c r="I334" s="1"/>
      <c r="J334" s="1"/>
      <c r="M334" s="1"/>
    </row>
    <row r="335" spans="1:13" x14ac:dyDescent="0.15">
      <c r="A335" s="1"/>
      <c r="D335" s="1"/>
      <c r="E335" s="1"/>
      <c r="G335" s="1"/>
      <c r="I335" s="1"/>
      <c r="J335" s="1"/>
      <c r="M335" s="1"/>
    </row>
    <row r="336" spans="1:13" x14ac:dyDescent="0.15">
      <c r="A336" s="1"/>
      <c r="D336" s="1"/>
      <c r="E336" s="1"/>
      <c r="G336" s="1"/>
      <c r="I336" s="1"/>
      <c r="J336" s="1"/>
      <c r="M336" s="1"/>
    </row>
    <row r="337" spans="1:13" x14ac:dyDescent="0.15">
      <c r="A337" s="1"/>
      <c r="D337" s="1"/>
      <c r="E337" s="1"/>
      <c r="G337" s="1"/>
      <c r="I337" s="1"/>
      <c r="J337" s="1"/>
      <c r="M337" s="1"/>
    </row>
    <row r="338" spans="1:13" x14ac:dyDescent="0.15">
      <c r="A338" s="1"/>
      <c r="D338" s="1"/>
      <c r="E338" s="1"/>
      <c r="G338" s="1"/>
      <c r="I338" s="1"/>
      <c r="J338" s="1"/>
      <c r="M338" s="1"/>
    </row>
    <row r="339" spans="1:13" x14ac:dyDescent="0.15">
      <c r="A339" s="1"/>
      <c r="D339" s="1"/>
      <c r="E339" s="1"/>
      <c r="G339" s="1"/>
      <c r="I339" s="1"/>
      <c r="J339" s="1"/>
      <c r="M339" s="1"/>
    </row>
    <row r="340" spans="1:13" x14ac:dyDescent="0.15">
      <c r="A340" s="1"/>
      <c r="D340" s="1"/>
      <c r="E340" s="1"/>
      <c r="G340" s="1"/>
      <c r="I340" s="1"/>
      <c r="J340" s="1"/>
      <c r="M340" s="1"/>
    </row>
    <row r="341" spans="1:13" x14ac:dyDescent="0.15">
      <c r="A341" s="1"/>
      <c r="D341" s="1"/>
      <c r="E341" s="1"/>
      <c r="G341" s="1"/>
      <c r="I341" s="1"/>
      <c r="J341" s="1"/>
      <c r="M341" s="1"/>
    </row>
    <row r="342" spans="1:13" x14ac:dyDescent="0.15">
      <c r="A342" s="1"/>
      <c r="D342" s="1"/>
      <c r="E342" s="1"/>
      <c r="G342" s="1"/>
      <c r="I342" s="1"/>
      <c r="J342" s="1"/>
      <c r="M342" s="1"/>
    </row>
    <row r="343" spans="1:13" x14ac:dyDescent="0.15">
      <c r="A343" s="1"/>
      <c r="D343" s="1"/>
      <c r="E343" s="1"/>
      <c r="G343" s="1"/>
      <c r="I343" s="1"/>
      <c r="J343" s="1"/>
      <c r="M343" s="1"/>
    </row>
    <row r="344" spans="1:13" x14ac:dyDescent="0.15">
      <c r="A344" s="1"/>
      <c r="D344" s="1"/>
      <c r="E344" s="1"/>
      <c r="G344" s="1"/>
      <c r="I344" s="1"/>
      <c r="J344" s="1"/>
      <c r="M344" s="1"/>
    </row>
    <row r="345" spans="1:13" x14ac:dyDescent="0.15">
      <c r="A345" s="1"/>
      <c r="D345" s="1"/>
      <c r="E345" s="1"/>
      <c r="G345" s="1"/>
      <c r="I345" s="1"/>
      <c r="J345" s="1"/>
      <c r="M345" s="1"/>
    </row>
    <row r="346" spans="1:13" x14ac:dyDescent="0.15">
      <c r="A346" s="1"/>
      <c r="D346" s="1"/>
      <c r="E346" s="1"/>
      <c r="G346" s="1"/>
      <c r="I346" s="1"/>
      <c r="J346" s="1"/>
      <c r="M346" s="1"/>
    </row>
    <row r="347" spans="1:13" x14ac:dyDescent="0.15">
      <c r="A347" s="1"/>
      <c r="D347" s="1"/>
      <c r="E347" s="1"/>
      <c r="G347" s="1"/>
      <c r="I347" s="1"/>
      <c r="J347" s="1"/>
      <c r="M347" s="1"/>
    </row>
    <row r="348" spans="1:13" x14ac:dyDescent="0.15">
      <c r="A348" s="1"/>
      <c r="D348" s="1"/>
      <c r="E348" s="1"/>
      <c r="G348" s="1"/>
      <c r="I348" s="1"/>
      <c r="J348" s="1"/>
      <c r="M348" s="1"/>
    </row>
    <row r="349" spans="1:13" x14ac:dyDescent="0.15">
      <c r="A349" s="1"/>
      <c r="D349" s="1"/>
      <c r="E349" s="1"/>
      <c r="G349" s="1"/>
      <c r="I349" s="1"/>
      <c r="J349" s="1"/>
      <c r="M349" s="1"/>
    </row>
    <row r="350" spans="1:13" x14ac:dyDescent="0.15">
      <c r="A350" s="1"/>
      <c r="D350" s="1"/>
      <c r="E350" s="1"/>
      <c r="G350" s="1"/>
      <c r="I350" s="1"/>
      <c r="J350" s="1"/>
      <c r="M350" s="1"/>
    </row>
    <row r="351" spans="1:13" x14ac:dyDescent="0.15">
      <c r="A351" s="1"/>
      <c r="D351" s="1"/>
      <c r="E351" s="1"/>
      <c r="G351" s="1"/>
      <c r="I351" s="1"/>
      <c r="J351" s="1"/>
      <c r="M351" s="1"/>
    </row>
    <row r="352" spans="1:13" x14ac:dyDescent="0.15">
      <c r="A352" s="1"/>
      <c r="D352" s="1"/>
      <c r="E352" s="1"/>
      <c r="G352" s="1"/>
      <c r="I352" s="1"/>
      <c r="J352" s="1"/>
      <c r="M352" s="1"/>
    </row>
    <row r="353" spans="1:13" x14ac:dyDescent="0.15">
      <c r="A353" s="1"/>
      <c r="D353" s="1"/>
      <c r="E353" s="1"/>
      <c r="G353" s="1"/>
      <c r="I353" s="1"/>
      <c r="J353" s="1"/>
      <c r="M353" s="1"/>
    </row>
    <row r="354" spans="1:13" x14ac:dyDescent="0.15">
      <c r="A354" s="1"/>
      <c r="D354" s="1"/>
      <c r="E354" s="1"/>
      <c r="G354" s="1"/>
      <c r="I354" s="1"/>
      <c r="J354" s="1"/>
      <c r="M354" s="1"/>
    </row>
    <row r="355" spans="1:13" x14ac:dyDescent="0.15">
      <c r="A355" s="1"/>
      <c r="D355" s="1"/>
      <c r="E355" s="1"/>
      <c r="G355" s="1"/>
      <c r="I355" s="1"/>
      <c r="J355" s="1"/>
      <c r="M355" s="1"/>
    </row>
    <row r="356" spans="1:13" x14ac:dyDescent="0.15">
      <c r="A356" s="1"/>
      <c r="D356" s="1"/>
      <c r="E356" s="1"/>
      <c r="G356" s="1"/>
      <c r="I356" s="1"/>
      <c r="J356" s="1"/>
      <c r="M356" s="1"/>
    </row>
    <row r="357" spans="1:13" x14ac:dyDescent="0.15">
      <c r="A357" s="1"/>
      <c r="D357" s="1"/>
      <c r="E357" s="1"/>
      <c r="G357" s="1"/>
      <c r="I357" s="1"/>
      <c r="J357" s="1"/>
      <c r="M357" s="1"/>
    </row>
    <row r="358" spans="1:13" x14ac:dyDescent="0.15">
      <c r="A358" s="1"/>
      <c r="D358" s="1"/>
      <c r="E358" s="1"/>
      <c r="G358" s="1"/>
      <c r="I358" s="1"/>
      <c r="J358" s="1"/>
      <c r="M358" s="1"/>
    </row>
    <row r="359" spans="1:13" x14ac:dyDescent="0.15">
      <c r="A359" s="1"/>
      <c r="D359" s="1"/>
      <c r="E359" s="1"/>
      <c r="G359" s="1"/>
      <c r="I359" s="1"/>
      <c r="J359" s="1"/>
      <c r="M359" s="1"/>
    </row>
    <row r="360" spans="1:13" x14ac:dyDescent="0.15">
      <c r="A360" s="1"/>
      <c r="D360" s="1"/>
      <c r="E360" s="1"/>
      <c r="G360" s="1"/>
      <c r="I360" s="1"/>
      <c r="J360" s="1"/>
      <c r="M360" s="1"/>
    </row>
    <row r="361" spans="1:13" x14ac:dyDescent="0.15">
      <c r="A361" s="1"/>
      <c r="D361" s="1"/>
      <c r="E361" s="1"/>
      <c r="G361" s="1"/>
      <c r="I361" s="1"/>
      <c r="J361" s="1"/>
      <c r="M361" s="1"/>
    </row>
    <row r="362" spans="1:13" x14ac:dyDescent="0.15">
      <c r="A362" s="1"/>
      <c r="D362" s="1"/>
      <c r="E362" s="1"/>
      <c r="G362" s="1"/>
      <c r="I362" s="1"/>
      <c r="J362" s="1"/>
      <c r="M362" s="1"/>
    </row>
    <row r="363" spans="1:13" x14ac:dyDescent="0.15">
      <c r="A363" s="1"/>
      <c r="D363" s="1"/>
      <c r="E363" s="1"/>
      <c r="G363" s="1"/>
      <c r="I363" s="1"/>
      <c r="J363" s="1"/>
      <c r="M363" s="1"/>
    </row>
    <row r="364" spans="1:13" x14ac:dyDescent="0.15">
      <c r="A364" s="1"/>
      <c r="D364" s="1"/>
      <c r="E364" s="1"/>
      <c r="G364" s="1"/>
      <c r="I364" s="1"/>
      <c r="J364" s="1"/>
      <c r="M364" s="1"/>
    </row>
    <row r="365" spans="1:13" x14ac:dyDescent="0.15">
      <c r="A365" s="1"/>
      <c r="D365" s="1"/>
      <c r="E365" s="1"/>
      <c r="G365" s="1"/>
      <c r="I365" s="1"/>
      <c r="J365" s="1"/>
      <c r="M365" s="1"/>
    </row>
    <row r="366" spans="1:13" x14ac:dyDescent="0.15">
      <c r="A366" s="1"/>
      <c r="D366" s="1"/>
      <c r="E366" s="1"/>
      <c r="G366" s="1"/>
      <c r="I366" s="1"/>
      <c r="J366" s="1"/>
      <c r="M366" s="1"/>
    </row>
    <row r="367" spans="1:13" x14ac:dyDescent="0.15">
      <c r="A367" s="1"/>
      <c r="D367" s="1"/>
      <c r="E367" s="1"/>
      <c r="G367" s="1"/>
      <c r="I367" s="1"/>
      <c r="J367" s="1"/>
      <c r="M367" s="1"/>
    </row>
    <row r="368" spans="1:13" x14ac:dyDescent="0.15">
      <c r="A368" s="1"/>
      <c r="D368" s="1"/>
      <c r="E368" s="1"/>
      <c r="G368" s="1"/>
      <c r="I368" s="1"/>
      <c r="J368" s="1"/>
      <c r="M368" s="1"/>
    </row>
    <row r="369" spans="1:13" x14ac:dyDescent="0.15">
      <c r="A369" s="1"/>
      <c r="D369" s="1"/>
      <c r="E369" s="1"/>
      <c r="G369" s="1"/>
      <c r="I369" s="1"/>
      <c r="J369" s="1"/>
      <c r="M369" s="1"/>
    </row>
    <row r="370" spans="1:13" x14ac:dyDescent="0.15">
      <c r="A370" s="1"/>
      <c r="D370" s="1"/>
      <c r="E370" s="1"/>
      <c r="G370" s="1"/>
      <c r="I370" s="1"/>
      <c r="J370" s="1"/>
      <c r="M370" s="1"/>
    </row>
    <row r="371" spans="1:13" x14ac:dyDescent="0.15">
      <c r="A371" s="1"/>
      <c r="D371" s="1"/>
      <c r="E371" s="1"/>
      <c r="G371" s="1"/>
      <c r="I371" s="1"/>
      <c r="J371" s="1"/>
      <c r="M371" s="1"/>
    </row>
    <row r="372" spans="1:13" x14ac:dyDescent="0.15">
      <c r="A372" s="1"/>
      <c r="D372" s="1"/>
      <c r="E372" s="1"/>
      <c r="G372" s="1"/>
      <c r="I372" s="1"/>
      <c r="J372" s="1"/>
      <c r="M372" s="1"/>
    </row>
    <row r="373" spans="1:13" x14ac:dyDescent="0.15">
      <c r="A373" s="1"/>
      <c r="D373" s="1"/>
      <c r="E373" s="1"/>
      <c r="G373" s="1"/>
      <c r="I373" s="1"/>
      <c r="J373" s="1"/>
      <c r="M373" s="1"/>
    </row>
    <row r="374" spans="1:13" x14ac:dyDescent="0.15">
      <c r="A374" s="1"/>
      <c r="D374" s="1"/>
      <c r="E374" s="1"/>
      <c r="G374" s="1"/>
      <c r="I374" s="1"/>
      <c r="J374" s="1"/>
      <c r="M374" s="1"/>
    </row>
    <row r="375" spans="1:13" x14ac:dyDescent="0.15">
      <c r="A375" s="1"/>
      <c r="D375" s="1"/>
      <c r="E375" s="1"/>
      <c r="G375" s="1"/>
      <c r="I375" s="1"/>
      <c r="J375" s="1"/>
      <c r="M375" s="1"/>
    </row>
    <row r="376" spans="1:13" x14ac:dyDescent="0.15">
      <c r="A376" s="1"/>
      <c r="D376" s="1"/>
      <c r="E376" s="1"/>
      <c r="G376" s="1"/>
      <c r="I376" s="1"/>
      <c r="J376" s="1"/>
      <c r="M376" s="1"/>
    </row>
    <row r="377" spans="1:13" x14ac:dyDescent="0.15">
      <c r="A377" s="1"/>
      <c r="D377" s="1"/>
      <c r="E377" s="1"/>
      <c r="G377" s="1"/>
      <c r="I377" s="1"/>
      <c r="J377" s="1"/>
      <c r="M377" s="1"/>
    </row>
    <row r="378" spans="1:13" x14ac:dyDescent="0.15">
      <c r="A378" s="1"/>
      <c r="D378" s="1"/>
      <c r="E378" s="1"/>
      <c r="G378" s="1"/>
      <c r="I378" s="1"/>
      <c r="J378" s="1"/>
      <c r="M378" s="1"/>
    </row>
    <row r="379" spans="1:13" x14ac:dyDescent="0.15">
      <c r="A379" s="1"/>
      <c r="D379" s="1"/>
      <c r="E379" s="1"/>
      <c r="G379" s="1"/>
      <c r="I379" s="1"/>
      <c r="J379" s="1"/>
      <c r="M379" s="1"/>
    </row>
    <row r="380" spans="1:13" x14ac:dyDescent="0.15">
      <c r="A380" s="1"/>
      <c r="D380" s="1"/>
      <c r="E380" s="1"/>
      <c r="G380" s="1"/>
      <c r="I380" s="1"/>
      <c r="J380" s="1"/>
      <c r="M380" s="1"/>
    </row>
    <row r="381" spans="1:13" x14ac:dyDescent="0.15">
      <c r="A381" s="1"/>
      <c r="D381" s="1"/>
      <c r="E381" s="1"/>
      <c r="G381" s="1"/>
      <c r="I381" s="1"/>
      <c r="J381" s="1"/>
      <c r="M381" s="1"/>
    </row>
    <row r="382" spans="1:13" x14ac:dyDescent="0.15">
      <c r="A382" s="1"/>
      <c r="D382" s="1"/>
      <c r="E382" s="1"/>
      <c r="G382" s="1"/>
      <c r="I382" s="1"/>
      <c r="J382" s="1"/>
      <c r="M382" s="1"/>
    </row>
    <row r="383" spans="1:13" x14ac:dyDescent="0.15">
      <c r="A383" s="1"/>
      <c r="D383" s="1"/>
      <c r="E383" s="1"/>
      <c r="G383" s="1"/>
      <c r="I383" s="1"/>
      <c r="J383" s="1"/>
      <c r="M383" s="1"/>
    </row>
    <row r="384" spans="1:13" x14ac:dyDescent="0.15">
      <c r="A384" s="1"/>
      <c r="D384" s="1"/>
      <c r="E384" s="1"/>
      <c r="G384" s="1"/>
      <c r="I384" s="1"/>
      <c r="J384" s="1"/>
      <c r="M384" s="1"/>
    </row>
    <row r="385" spans="1:13" x14ac:dyDescent="0.15">
      <c r="A385" s="1"/>
      <c r="D385" s="1"/>
      <c r="E385" s="1"/>
      <c r="G385" s="1"/>
      <c r="I385" s="1"/>
      <c r="J385" s="1"/>
      <c r="M385" s="1"/>
    </row>
    <row r="386" spans="1:13" x14ac:dyDescent="0.15">
      <c r="A386" s="1"/>
      <c r="D386" s="1"/>
      <c r="E386" s="1"/>
      <c r="G386" s="1"/>
      <c r="I386" s="1"/>
      <c r="J386" s="1"/>
      <c r="M386" s="1"/>
    </row>
    <row r="387" spans="1:13" x14ac:dyDescent="0.15">
      <c r="A387" s="1"/>
      <c r="D387" s="1"/>
      <c r="E387" s="1"/>
      <c r="G387" s="1"/>
      <c r="I387" s="1"/>
      <c r="J387" s="1"/>
      <c r="M387" s="1"/>
    </row>
    <row r="388" spans="1:13" x14ac:dyDescent="0.15">
      <c r="A388" s="1"/>
      <c r="D388" s="1"/>
      <c r="E388" s="1"/>
      <c r="G388" s="1"/>
      <c r="I388" s="1"/>
      <c r="J388" s="1"/>
      <c r="M388" s="1"/>
    </row>
    <row r="389" spans="1:13" x14ac:dyDescent="0.15">
      <c r="A389" s="1"/>
      <c r="D389" s="1"/>
      <c r="E389" s="1"/>
      <c r="G389" s="1"/>
      <c r="I389" s="1"/>
      <c r="J389" s="1"/>
      <c r="M389" s="1"/>
    </row>
    <row r="390" spans="1:13" x14ac:dyDescent="0.15">
      <c r="A390" s="1"/>
      <c r="D390" s="1"/>
      <c r="E390" s="1"/>
      <c r="G390" s="1"/>
      <c r="I390" s="1"/>
      <c r="J390" s="1"/>
      <c r="M390" s="1"/>
    </row>
    <row r="391" spans="1:13" x14ac:dyDescent="0.15">
      <c r="A391" s="1"/>
      <c r="D391" s="1"/>
      <c r="E391" s="1"/>
      <c r="G391" s="1"/>
      <c r="I391" s="1"/>
      <c r="J391" s="1"/>
      <c r="M391" s="1"/>
    </row>
    <row r="392" spans="1:13" x14ac:dyDescent="0.15">
      <c r="A392" s="1"/>
      <c r="D392" s="1"/>
      <c r="E392" s="1"/>
      <c r="G392" s="1"/>
      <c r="I392" s="1"/>
      <c r="J392" s="1"/>
      <c r="M392" s="1"/>
    </row>
    <row r="393" spans="1:13" x14ac:dyDescent="0.15">
      <c r="A393" s="1"/>
      <c r="D393" s="1"/>
      <c r="E393" s="1"/>
      <c r="G393" s="1"/>
      <c r="I393" s="1"/>
      <c r="J393" s="1"/>
      <c r="M393" s="1"/>
    </row>
    <row r="394" spans="1:13" x14ac:dyDescent="0.15">
      <c r="A394" s="1"/>
      <c r="D394" s="1"/>
      <c r="E394" s="1"/>
      <c r="G394" s="1"/>
      <c r="I394" s="1"/>
      <c r="J394" s="1"/>
      <c r="M394" s="1"/>
    </row>
    <row r="395" spans="1:13" x14ac:dyDescent="0.15">
      <c r="A395" s="1"/>
      <c r="D395" s="1"/>
      <c r="E395" s="1"/>
      <c r="G395" s="1"/>
      <c r="I395" s="1"/>
      <c r="J395" s="1"/>
      <c r="M395" s="1"/>
    </row>
    <row r="396" spans="1:13" x14ac:dyDescent="0.15">
      <c r="A396" s="1"/>
      <c r="D396" s="1"/>
      <c r="E396" s="1"/>
      <c r="G396" s="1"/>
      <c r="I396" s="1"/>
      <c r="J396" s="1"/>
      <c r="M396" s="1"/>
    </row>
    <row r="397" spans="1:13" x14ac:dyDescent="0.15">
      <c r="A397" s="1"/>
      <c r="D397" s="1"/>
      <c r="E397" s="1"/>
      <c r="G397" s="1"/>
      <c r="I397" s="1"/>
      <c r="J397" s="1"/>
      <c r="M397" s="1"/>
    </row>
    <row r="398" spans="1:13" x14ac:dyDescent="0.15">
      <c r="A398" s="1"/>
      <c r="D398" s="1"/>
      <c r="E398" s="1"/>
      <c r="G398" s="1"/>
      <c r="I398" s="1"/>
      <c r="J398" s="1"/>
      <c r="M398" s="1"/>
    </row>
    <row r="399" spans="1:13" x14ac:dyDescent="0.15">
      <c r="A399" s="1"/>
      <c r="D399" s="1"/>
      <c r="E399" s="1"/>
      <c r="G399" s="1"/>
      <c r="I399" s="1"/>
      <c r="J399" s="1"/>
      <c r="M399" s="1"/>
    </row>
    <row r="400" spans="1:13" x14ac:dyDescent="0.15">
      <c r="A400" s="1"/>
      <c r="D400" s="1"/>
      <c r="E400" s="1"/>
      <c r="G400" s="1"/>
      <c r="I400" s="1"/>
      <c r="J400" s="1"/>
      <c r="M400" s="1"/>
    </row>
    <row r="401" spans="1:13" x14ac:dyDescent="0.15">
      <c r="A401" s="1"/>
      <c r="D401" s="1"/>
      <c r="E401" s="1"/>
      <c r="G401" s="1"/>
      <c r="I401" s="1"/>
      <c r="J401" s="1"/>
      <c r="M401" s="1"/>
    </row>
    <row r="402" spans="1:13" x14ac:dyDescent="0.15">
      <c r="A402" s="1"/>
      <c r="D402" s="1"/>
      <c r="E402" s="1"/>
      <c r="G402" s="1"/>
      <c r="I402" s="1"/>
      <c r="J402" s="1"/>
      <c r="M402" s="1"/>
    </row>
    <row r="403" spans="1:13" x14ac:dyDescent="0.15">
      <c r="A403" s="1"/>
      <c r="D403" s="1"/>
      <c r="E403" s="1"/>
      <c r="G403" s="1"/>
      <c r="I403" s="1"/>
      <c r="J403" s="1"/>
      <c r="M403" s="1"/>
    </row>
    <row r="404" spans="1:13" x14ac:dyDescent="0.15">
      <c r="A404" s="1"/>
      <c r="D404" s="1"/>
      <c r="E404" s="1"/>
      <c r="G404" s="1"/>
      <c r="I404" s="1"/>
      <c r="J404" s="1"/>
      <c r="M404" s="1"/>
    </row>
    <row r="405" spans="1:13" x14ac:dyDescent="0.15">
      <c r="A405" s="1"/>
      <c r="D405" s="1"/>
      <c r="E405" s="1"/>
      <c r="G405" s="1"/>
      <c r="I405" s="1"/>
      <c r="J405" s="1"/>
      <c r="M405" s="1"/>
    </row>
    <row r="406" spans="1:13" x14ac:dyDescent="0.15">
      <c r="A406" s="1"/>
      <c r="D406" s="1"/>
      <c r="E406" s="1"/>
      <c r="G406" s="1"/>
      <c r="I406" s="1"/>
      <c r="J406" s="1"/>
      <c r="M406" s="1"/>
    </row>
    <row r="407" spans="1:13" x14ac:dyDescent="0.15">
      <c r="A407" s="1"/>
      <c r="D407" s="1"/>
      <c r="E407" s="1"/>
      <c r="G407" s="1"/>
      <c r="I407" s="1"/>
      <c r="J407" s="1"/>
      <c r="M407" s="1"/>
    </row>
    <row r="408" spans="1:13" x14ac:dyDescent="0.15">
      <c r="A408" s="1"/>
      <c r="D408" s="1"/>
      <c r="E408" s="1"/>
      <c r="G408" s="1"/>
      <c r="I408" s="1"/>
      <c r="J408" s="1"/>
      <c r="M408" s="1"/>
    </row>
    <row r="409" spans="1:13" x14ac:dyDescent="0.15">
      <c r="A409" s="1"/>
      <c r="D409" s="1"/>
      <c r="E409" s="1"/>
      <c r="G409" s="1"/>
      <c r="I409" s="1"/>
      <c r="J409" s="1"/>
      <c r="M409" s="1"/>
    </row>
    <row r="410" spans="1:13" x14ac:dyDescent="0.15">
      <c r="A410" s="1"/>
      <c r="D410" s="1"/>
      <c r="E410" s="1"/>
      <c r="G410" s="1"/>
      <c r="I410" s="1"/>
      <c r="J410" s="1"/>
      <c r="M410" s="1"/>
    </row>
    <row r="411" spans="1:13" x14ac:dyDescent="0.15">
      <c r="A411" s="1"/>
      <c r="D411" s="1"/>
      <c r="E411" s="1"/>
      <c r="G411" s="1"/>
      <c r="I411" s="1"/>
      <c r="J411" s="1"/>
      <c r="M411" s="1"/>
    </row>
    <row r="412" spans="1:13" x14ac:dyDescent="0.15">
      <c r="A412" s="1"/>
      <c r="D412" s="1"/>
      <c r="E412" s="1"/>
      <c r="G412" s="1"/>
      <c r="I412" s="1"/>
      <c r="J412" s="1"/>
      <c r="M412" s="1"/>
    </row>
    <row r="413" spans="1:13" x14ac:dyDescent="0.15">
      <c r="A413" s="1"/>
      <c r="D413" s="1"/>
      <c r="E413" s="1"/>
      <c r="G413" s="1"/>
      <c r="I413" s="1"/>
      <c r="J413" s="1"/>
      <c r="M413" s="1"/>
    </row>
    <row r="414" spans="1:13" x14ac:dyDescent="0.15">
      <c r="A414" s="1"/>
      <c r="D414" s="1"/>
      <c r="E414" s="1"/>
      <c r="G414" s="1"/>
      <c r="I414" s="1"/>
      <c r="J414" s="1"/>
      <c r="M414" s="1"/>
    </row>
    <row r="415" spans="1:13" x14ac:dyDescent="0.15">
      <c r="A415" s="1"/>
      <c r="D415" s="1"/>
      <c r="E415" s="1"/>
      <c r="G415" s="1"/>
      <c r="I415" s="1"/>
      <c r="J415" s="1"/>
      <c r="M415" s="1"/>
    </row>
    <row r="416" spans="1:13" x14ac:dyDescent="0.15">
      <c r="A416" s="1"/>
      <c r="D416" s="1"/>
      <c r="E416" s="1"/>
      <c r="G416" s="1"/>
      <c r="I416" s="1"/>
      <c r="J416" s="1"/>
      <c r="M416" s="1"/>
    </row>
    <row r="417" spans="1:13" x14ac:dyDescent="0.15">
      <c r="A417" s="1"/>
      <c r="D417" s="1"/>
      <c r="E417" s="1"/>
      <c r="G417" s="1"/>
      <c r="I417" s="1"/>
      <c r="J417" s="1"/>
      <c r="M417" s="1"/>
    </row>
    <row r="418" spans="1:13" x14ac:dyDescent="0.15">
      <c r="A418" s="1"/>
      <c r="D418" s="1"/>
      <c r="E418" s="1"/>
      <c r="G418" s="1"/>
      <c r="I418" s="1"/>
      <c r="J418" s="1"/>
      <c r="M418" s="1"/>
    </row>
    <row r="419" spans="1:13" x14ac:dyDescent="0.15">
      <c r="A419" s="1"/>
      <c r="D419" s="1"/>
      <c r="E419" s="1"/>
      <c r="G419" s="1"/>
      <c r="I419" s="1"/>
      <c r="J419" s="1"/>
      <c r="M419" s="1"/>
    </row>
    <row r="420" spans="1:13" x14ac:dyDescent="0.15">
      <c r="A420" s="1"/>
      <c r="D420" s="1"/>
      <c r="E420" s="1"/>
      <c r="G420" s="1"/>
      <c r="I420" s="1"/>
      <c r="J420" s="1"/>
      <c r="M420" s="1"/>
    </row>
    <row r="421" spans="1:13" x14ac:dyDescent="0.15">
      <c r="A421" s="1"/>
      <c r="D421" s="1"/>
      <c r="E421" s="1"/>
      <c r="G421" s="1"/>
      <c r="I421" s="1"/>
      <c r="J421" s="1"/>
      <c r="M421" s="1"/>
    </row>
    <row r="422" spans="1:13" x14ac:dyDescent="0.15">
      <c r="A422" s="1"/>
      <c r="D422" s="1"/>
      <c r="E422" s="1"/>
      <c r="G422" s="1"/>
      <c r="I422" s="1"/>
      <c r="J422" s="1"/>
      <c r="M422" s="1"/>
    </row>
    <row r="423" spans="1:13" x14ac:dyDescent="0.15">
      <c r="A423" s="1"/>
      <c r="D423" s="1"/>
      <c r="E423" s="1"/>
      <c r="G423" s="1"/>
      <c r="I423" s="1"/>
      <c r="J423" s="1"/>
      <c r="M423" s="1"/>
    </row>
    <row r="424" spans="1:13" x14ac:dyDescent="0.15">
      <c r="A424" s="1"/>
      <c r="D424" s="1"/>
      <c r="E424" s="1"/>
      <c r="G424" s="1"/>
      <c r="I424" s="1"/>
      <c r="J424" s="1"/>
      <c r="M424" s="1"/>
    </row>
    <row r="425" spans="1:13" x14ac:dyDescent="0.15">
      <c r="A425" s="1"/>
      <c r="D425" s="1"/>
      <c r="E425" s="1"/>
      <c r="G425" s="1"/>
      <c r="I425" s="1"/>
      <c r="J425" s="1"/>
      <c r="M425" s="1"/>
    </row>
    <row r="426" spans="1:13" x14ac:dyDescent="0.15">
      <c r="A426" s="1"/>
      <c r="D426" s="1"/>
      <c r="E426" s="1"/>
      <c r="G426" s="1"/>
      <c r="I426" s="1"/>
      <c r="J426" s="1"/>
      <c r="M426" s="1"/>
    </row>
    <row r="427" spans="1:13" x14ac:dyDescent="0.15">
      <c r="A427" s="1"/>
      <c r="D427" s="1"/>
      <c r="E427" s="1"/>
      <c r="G427" s="1"/>
      <c r="I427" s="1"/>
      <c r="J427" s="1"/>
      <c r="M427" s="1"/>
    </row>
    <row r="428" spans="1:13" x14ac:dyDescent="0.15">
      <c r="A428" s="1"/>
      <c r="D428" s="1"/>
      <c r="E428" s="1"/>
      <c r="G428" s="1"/>
      <c r="I428" s="1"/>
      <c r="J428" s="1"/>
      <c r="M428" s="1"/>
    </row>
    <row r="429" spans="1:13" x14ac:dyDescent="0.15">
      <c r="A429" s="1"/>
      <c r="D429" s="1"/>
      <c r="E429" s="1"/>
      <c r="G429" s="1"/>
      <c r="I429" s="1"/>
      <c r="J429" s="1"/>
      <c r="M429" s="1"/>
    </row>
    <row r="430" spans="1:13" x14ac:dyDescent="0.15">
      <c r="A430" s="1"/>
      <c r="D430" s="1"/>
      <c r="E430" s="1"/>
      <c r="G430" s="1"/>
      <c r="I430" s="1"/>
      <c r="J430" s="1"/>
      <c r="M430" s="1"/>
    </row>
    <row r="431" spans="1:13" x14ac:dyDescent="0.15">
      <c r="A431" s="1"/>
      <c r="D431" s="1"/>
      <c r="E431" s="1"/>
      <c r="G431" s="1"/>
      <c r="I431" s="1"/>
      <c r="J431" s="1"/>
      <c r="M431" s="1"/>
    </row>
    <row r="432" spans="1:13" x14ac:dyDescent="0.15">
      <c r="A432" s="1"/>
      <c r="D432" s="1"/>
      <c r="E432" s="1"/>
      <c r="G432" s="1"/>
      <c r="I432" s="1"/>
      <c r="J432" s="1"/>
      <c r="M432" s="1"/>
    </row>
    <row r="433" spans="1:13" x14ac:dyDescent="0.15">
      <c r="A433" s="1"/>
      <c r="D433" s="1"/>
      <c r="E433" s="1"/>
      <c r="G433" s="1"/>
      <c r="I433" s="1"/>
      <c r="J433" s="1"/>
      <c r="M433" s="1"/>
    </row>
    <row r="434" spans="1:13" x14ac:dyDescent="0.15">
      <c r="A434" s="1"/>
      <c r="D434" s="1"/>
      <c r="E434" s="1"/>
      <c r="G434" s="1"/>
      <c r="I434" s="1"/>
      <c r="J434" s="1"/>
      <c r="M434" s="1"/>
    </row>
    <row r="435" spans="1:13" x14ac:dyDescent="0.15">
      <c r="A435" s="1"/>
      <c r="D435" s="1"/>
      <c r="E435" s="1"/>
      <c r="G435" s="1"/>
      <c r="I435" s="1"/>
      <c r="J435" s="1"/>
      <c r="M435" s="1"/>
    </row>
    <row r="436" spans="1:13" x14ac:dyDescent="0.15">
      <c r="A436" s="1"/>
      <c r="D436" s="1"/>
      <c r="E436" s="1"/>
      <c r="G436" s="1"/>
      <c r="I436" s="1"/>
      <c r="J436" s="1"/>
      <c r="M436" s="1"/>
    </row>
    <row r="437" spans="1:13" x14ac:dyDescent="0.15">
      <c r="A437" s="1"/>
      <c r="D437" s="1"/>
      <c r="E437" s="1"/>
      <c r="G437" s="1"/>
      <c r="I437" s="1"/>
      <c r="J437" s="1"/>
      <c r="M437" s="1"/>
    </row>
    <row r="438" spans="1:13" x14ac:dyDescent="0.15">
      <c r="A438" s="1"/>
      <c r="D438" s="1"/>
      <c r="E438" s="1"/>
      <c r="G438" s="1"/>
      <c r="I438" s="1"/>
      <c r="J438" s="1"/>
      <c r="M438" s="1"/>
    </row>
    <row r="439" spans="1:13" x14ac:dyDescent="0.15">
      <c r="A439" s="1"/>
      <c r="D439" s="1"/>
      <c r="E439" s="1"/>
      <c r="G439" s="1"/>
      <c r="I439" s="1"/>
      <c r="J439" s="1"/>
      <c r="M439" s="1"/>
    </row>
    <row r="440" spans="1:13" x14ac:dyDescent="0.15">
      <c r="A440" s="1"/>
      <c r="D440" s="1"/>
      <c r="E440" s="1"/>
      <c r="G440" s="1"/>
      <c r="I440" s="1"/>
      <c r="J440" s="1"/>
      <c r="M440" s="1"/>
    </row>
    <row r="441" spans="1:13" x14ac:dyDescent="0.15">
      <c r="A441" s="1"/>
      <c r="D441" s="1"/>
      <c r="E441" s="1"/>
      <c r="G441" s="1"/>
      <c r="I441" s="1"/>
      <c r="J441" s="1"/>
      <c r="M441" s="1"/>
    </row>
    <row r="442" spans="1:13" x14ac:dyDescent="0.15">
      <c r="A442" s="1"/>
      <c r="D442" s="1"/>
      <c r="E442" s="1"/>
      <c r="G442" s="1"/>
      <c r="I442" s="1"/>
      <c r="J442" s="1"/>
      <c r="M442" s="1"/>
    </row>
    <row r="443" spans="1:13" x14ac:dyDescent="0.15">
      <c r="A443" s="1"/>
      <c r="D443" s="1"/>
      <c r="E443" s="1"/>
      <c r="G443" s="1"/>
      <c r="I443" s="1"/>
      <c r="J443" s="1"/>
      <c r="M443" s="1"/>
    </row>
    <row r="444" spans="1:13" x14ac:dyDescent="0.15">
      <c r="A444" s="1"/>
      <c r="D444" s="1"/>
      <c r="E444" s="1"/>
      <c r="G444" s="1"/>
      <c r="I444" s="1"/>
      <c r="J444" s="1"/>
      <c r="M444" s="1"/>
    </row>
    <row r="445" spans="1:13" x14ac:dyDescent="0.15">
      <c r="A445" s="1"/>
      <c r="D445" s="1"/>
      <c r="E445" s="1"/>
      <c r="G445" s="1"/>
      <c r="I445" s="1"/>
      <c r="J445" s="1"/>
      <c r="M445" s="1"/>
    </row>
    <row r="446" spans="1:13" x14ac:dyDescent="0.15">
      <c r="A446" s="1"/>
      <c r="D446" s="1"/>
      <c r="E446" s="1"/>
      <c r="G446" s="1"/>
      <c r="I446" s="1"/>
      <c r="J446" s="1"/>
      <c r="M446" s="1"/>
    </row>
    <row r="447" spans="1:13" x14ac:dyDescent="0.15">
      <c r="A447" s="1"/>
      <c r="D447" s="1"/>
      <c r="E447" s="1"/>
      <c r="G447" s="1"/>
      <c r="I447" s="1"/>
      <c r="J447" s="1"/>
      <c r="M447" s="1"/>
    </row>
    <row r="448" spans="1:13" x14ac:dyDescent="0.15">
      <c r="A448" s="1"/>
      <c r="D448" s="1"/>
      <c r="E448" s="1"/>
      <c r="G448" s="1"/>
      <c r="I448" s="1"/>
      <c r="J448" s="1"/>
      <c r="M448" s="1"/>
    </row>
    <row r="449" spans="1:13" x14ac:dyDescent="0.15">
      <c r="A449" s="1"/>
      <c r="D449" s="1"/>
      <c r="E449" s="1"/>
      <c r="G449" s="1"/>
      <c r="I449" s="1"/>
      <c r="J449" s="1"/>
      <c r="M449" s="1"/>
    </row>
    <row r="450" spans="1:13" x14ac:dyDescent="0.15">
      <c r="A450" s="1"/>
      <c r="D450" s="1"/>
      <c r="E450" s="1"/>
      <c r="G450" s="1"/>
      <c r="I450" s="1"/>
      <c r="J450" s="1"/>
      <c r="M450" s="1"/>
    </row>
    <row r="451" spans="1:13" x14ac:dyDescent="0.15">
      <c r="A451" s="1"/>
      <c r="D451" s="1"/>
      <c r="E451" s="1"/>
      <c r="G451" s="1"/>
      <c r="I451" s="1"/>
      <c r="J451" s="1"/>
      <c r="M451" s="1"/>
    </row>
    <row r="452" spans="1:13" x14ac:dyDescent="0.15">
      <c r="A452" s="1"/>
      <c r="D452" s="1"/>
      <c r="E452" s="1"/>
      <c r="G452" s="1"/>
      <c r="I452" s="1"/>
      <c r="J452" s="1"/>
      <c r="M452" s="1"/>
    </row>
    <row r="453" spans="1:13" x14ac:dyDescent="0.15">
      <c r="A453" s="1"/>
      <c r="D453" s="1"/>
      <c r="E453" s="1"/>
      <c r="G453" s="1"/>
      <c r="I453" s="1"/>
      <c r="J453" s="1"/>
      <c r="M453" s="1"/>
    </row>
    <row r="454" spans="1:13" x14ac:dyDescent="0.15">
      <c r="A454" s="1"/>
      <c r="D454" s="1"/>
      <c r="E454" s="1"/>
      <c r="G454" s="1"/>
      <c r="I454" s="1"/>
      <c r="J454" s="1"/>
      <c r="M454" s="1"/>
    </row>
    <row r="455" spans="1:13" x14ac:dyDescent="0.15">
      <c r="A455" s="1"/>
      <c r="D455" s="1"/>
      <c r="E455" s="1"/>
      <c r="G455" s="1"/>
      <c r="I455" s="1"/>
      <c r="J455" s="1"/>
      <c r="M455" s="1"/>
    </row>
    <row r="456" spans="1:13" x14ac:dyDescent="0.15">
      <c r="A456" s="1"/>
      <c r="D456" s="1"/>
      <c r="E456" s="1"/>
      <c r="G456" s="1"/>
      <c r="I456" s="1"/>
      <c r="J456" s="1"/>
      <c r="M456" s="1"/>
    </row>
    <row r="457" spans="1:13" x14ac:dyDescent="0.15">
      <c r="A457" s="1"/>
      <c r="D457" s="1"/>
      <c r="E457" s="1"/>
      <c r="G457" s="1"/>
      <c r="I457" s="1"/>
      <c r="J457" s="1"/>
      <c r="M457" s="1"/>
    </row>
    <row r="458" spans="1:13" x14ac:dyDescent="0.15">
      <c r="A458" s="1"/>
      <c r="D458" s="1"/>
      <c r="E458" s="1"/>
      <c r="G458" s="1"/>
      <c r="I458" s="1"/>
      <c r="J458" s="1"/>
      <c r="M458" s="1"/>
    </row>
    <row r="459" spans="1:13" x14ac:dyDescent="0.15">
      <c r="A459" s="1"/>
      <c r="D459" s="1"/>
      <c r="E459" s="1"/>
      <c r="G459" s="1"/>
      <c r="I459" s="1"/>
      <c r="J459" s="1"/>
      <c r="M459" s="1"/>
    </row>
    <row r="460" spans="1:13" x14ac:dyDescent="0.15">
      <c r="A460" s="1"/>
      <c r="D460" s="1"/>
      <c r="E460" s="1"/>
      <c r="G460" s="1"/>
      <c r="I460" s="1"/>
      <c r="J460" s="1"/>
      <c r="M460" s="1"/>
    </row>
    <row r="461" spans="1:13" x14ac:dyDescent="0.15">
      <c r="A461" s="1"/>
      <c r="D461" s="1"/>
      <c r="E461" s="1"/>
      <c r="G461" s="1"/>
      <c r="I461" s="1"/>
      <c r="J461" s="1"/>
      <c r="M461" s="1"/>
    </row>
    <row r="462" spans="1:13" x14ac:dyDescent="0.15">
      <c r="A462" s="1"/>
      <c r="D462" s="1"/>
      <c r="E462" s="1"/>
      <c r="G462" s="1"/>
      <c r="I462" s="1"/>
      <c r="J462" s="1"/>
      <c r="M462" s="1"/>
    </row>
    <row r="463" spans="1:13" x14ac:dyDescent="0.15">
      <c r="A463" s="1"/>
      <c r="D463" s="1"/>
      <c r="E463" s="1"/>
      <c r="G463" s="1"/>
      <c r="I463" s="1"/>
      <c r="J463" s="1"/>
      <c r="M463" s="1"/>
    </row>
    <row r="464" spans="1:13" x14ac:dyDescent="0.15">
      <c r="A464" s="1"/>
      <c r="D464" s="1"/>
      <c r="E464" s="1"/>
      <c r="G464" s="1"/>
      <c r="I464" s="1"/>
      <c r="J464" s="1"/>
      <c r="M464" s="1"/>
    </row>
    <row r="465" spans="1:13" x14ac:dyDescent="0.15">
      <c r="A465" s="1"/>
      <c r="D465" s="1"/>
      <c r="E465" s="1"/>
      <c r="G465" s="1"/>
      <c r="I465" s="1"/>
      <c r="J465" s="1"/>
      <c r="M465" s="1"/>
    </row>
    <row r="466" spans="1:13" x14ac:dyDescent="0.15">
      <c r="A466" s="1"/>
      <c r="D466" s="1"/>
      <c r="E466" s="1"/>
      <c r="G466" s="1"/>
      <c r="I466" s="1"/>
      <c r="J466" s="1"/>
      <c r="M466" s="1"/>
    </row>
    <row r="467" spans="1:13" x14ac:dyDescent="0.15">
      <c r="A467" s="1"/>
      <c r="D467" s="1"/>
      <c r="E467" s="1"/>
      <c r="G467" s="1"/>
      <c r="I467" s="1"/>
      <c r="J467" s="1"/>
      <c r="M467" s="1"/>
    </row>
    <row r="468" spans="1:13" x14ac:dyDescent="0.15">
      <c r="A468" s="1"/>
      <c r="D468" s="1"/>
      <c r="E468" s="1"/>
      <c r="G468" s="1"/>
      <c r="I468" s="1"/>
      <c r="J468" s="1"/>
      <c r="M468" s="1"/>
    </row>
    <row r="469" spans="1:13" x14ac:dyDescent="0.15">
      <c r="A469" s="1"/>
      <c r="D469" s="1"/>
      <c r="E469" s="1"/>
      <c r="G469" s="1"/>
      <c r="I469" s="1"/>
      <c r="J469" s="1"/>
      <c r="M469" s="1"/>
    </row>
    <row r="470" spans="1:13" x14ac:dyDescent="0.15">
      <c r="A470" s="1"/>
      <c r="D470" s="1"/>
      <c r="E470" s="1"/>
      <c r="G470" s="1"/>
      <c r="I470" s="1"/>
      <c r="J470" s="1"/>
      <c r="M470" s="1"/>
    </row>
    <row r="471" spans="1:13" x14ac:dyDescent="0.15">
      <c r="A471" s="1"/>
      <c r="D471" s="1"/>
      <c r="E471" s="1"/>
      <c r="G471" s="1"/>
      <c r="I471" s="1"/>
      <c r="J471" s="1"/>
      <c r="M471" s="1"/>
    </row>
    <row r="472" spans="1:13" x14ac:dyDescent="0.15">
      <c r="A472" s="1"/>
      <c r="D472" s="1"/>
      <c r="E472" s="1"/>
      <c r="G472" s="1"/>
      <c r="I472" s="1"/>
      <c r="J472" s="1"/>
      <c r="M472" s="1"/>
    </row>
    <row r="473" spans="1:13" x14ac:dyDescent="0.15">
      <c r="A473" s="1"/>
      <c r="D473" s="1"/>
      <c r="E473" s="1"/>
      <c r="G473" s="1"/>
      <c r="I473" s="1"/>
      <c r="J473" s="1"/>
      <c r="M473" s="1"/>
    </row>
    <row r="474" spans="1:13" x14ac:dyDescent="0.15">
      <c r="A474" s="1"/>
      <c r="D474" s="1"/>
      <c r="E474" s="1"/>
      <c r="G474" s="1"/>
      <c r="I474" s="1"/>
      <c r="J474" s="1"/>
      <c r="M474" s="1"/>
    </row>
    <row r="475" spans="1:13" x14ac:dyDescent="0.15">
      <c r="A475" s="1"/>
      <c r="D475" s="1"/>
      <c r="E475" s="1"/>
      <c r="G475" s="1"/>
      <c r="I475" s="1"/>
      <c r="J475" s="1"/>
      <c r="M475" s="1"/>
    </row>
    <row r="476" spans="1:13" x14ac:dyDescent="0.15">
      <c r="A476" s="1"/>
      <c r="D476" s="1"/>
      <c r="E476" s="1"/>
      <c r="G476" s="1"/>
      <c r="I476" s="1"/>
      <c r="J476" s="1"/>
      <c r="M476" s="1"/>
    </row>
    <row r="477" spans="1:13" x14ac:dyDescent="0.15">
      <c r="A477" s="1"/>
      <c r="D477" s="1"/>
      <c r="E477" s="1"/>
      <c r="G477" s="1"/>
      <c r="I477" s="1"/>
      <c r="J477" s="1"/>
      <c r="M477" s="1"/>
    </row>
    <row r="478" spans="1:13" x14ac:dyDescent="0.15">
      <c r="A478" s="1"/>
      <c r="D478" s="1"/>
      <c r="E478" s="1"/>
      <c r="G478" s="1"/>
      <c r="I478" s="1"/>
      <c r="J478" s="1"/>
      <c r="M478" s="1"/>
    </row>
    <row r="479" spans="1:13" x14ac:dyDescent="0.15">
      <c r="A479" s="1"/>
      <c r="D479" s="1"/>
      <c r="E479" s="1"/>
      <c r="G479" s="1"/>
      <c r="I479" s="1"/>
      <c r="J479" s="1"/>
      <c r="M479" s="1"/>
    </row>
    <row r="480" spans="1:13" x14ac:dyDescent="0.15">
      <c r="A480" s="1"/>
      <c r="D480" s="1"/>
      <c r="E480" s="1"/>
      <c r="G480" s="1"/>
      <c r="I480" s="1"/>
      <c r="J480" s="1"/>
      <c r="M480" s="1"/>
    </row>
    <row r="481" spans="1:13" x14ac:dyDescent="0.15">
      <c r="A481" s="1"/>
      <c r="D481" s="1"/>
      <c r="E481" s="1"/>
      <c r="G481" s="1"/>
      <c r="I481" s="1"/>
      <c r="J481" s="1"/>
      <c r="M481" s="1"/>
    </row>
    <row r="482" spans="1:13" x14ac:dyDescent="0.15">
      <c r="A482" s="1"/>
      <c r="D482" s="1"/>
      <c r="E482" s="1"/>
      <c r="G482" s="1"/>
      <c r="I482" s="1"/>
      <c r="J482" s="1"/>
      <c r="M482" s="1"/>
    </row>
    <row r="483" spans="1:13" x14ac:dyDescent="0.15">
      <c r="A483" s="1"/>
      <c r="D483" s="1"/>
      <c r="E483" s="1"/>
      <c r="G483" s="1"/>
      <c r="I483" s="1"/>
      <c r="J483" s="1"/>
      <c r="M483" s="1"/>
    </row>
    <row r="484" spans="1:13" x14ac:dyDescent="0.15">
      <c r="A484" s="1"/>
      <c r="D484" s="1"/>
      <c r="E484" s="1"/>
      <c r="G484" s="1"/>
      <c r="I484" s="1"/>
      <c r="J484" s="1"/>
      <c r="M484" s="1"/>
    </row>
    <row r="485" spans="1:13" x14ac:dyDescent="0.15">
      <c r="A485" s="1"/>
      <c r="D485" s="1"/>
      <c r="E485" s="1"/>
      <c r="G485" s="1"/>
      <c r="I485" s="1"/>
      <c r="J485" s="1"/>
      <c r="M485" s="1"/>
    </row>
    <row r="486" spans="1:13" x14ac:dyDescent="0.15">
      <c r="A486" s="1"/>
      <c r="D486" s="1"/>
      <c r="E486" s="1"/>
      <c r="G486" s="1"/>
      <c r="I486" s="1"/>
      <c r="J486" s="1"/>
      <c r="M486" s="1"/>
    </row>
    <row r="487" spans="1:13" x14ac:dyDescent="0.15">
      <c r="A487" s="1"/>
      <c r="D487" s="1"/>
      <c r="E487" s="1"/>
      <c r="G487" s="1"/>
      <c r="I487" s="1"/>
      <c r="J487" s="1"/>
      <c r="M487" s="1"/>
    </row>
    <row r="488" spans="1:13" x14ac:dyDescent="0.15">
      <c r="A488" s="1"/>
      <c r="D488" s="1"/>
      <c r="E488" s="1"/>
      <c r="G488" s="1"/>
      <c r="I488" s="1"/>
      <c r="J488" s="1"/>
      <c r="M488" s="1"/>
    </row>
    <row r="489" spans="1:13" x14ac:dyDescent="0.15">
      <c r="A489" s="1"/>
      <c r="D489" s="1"/>
      <c r="E489" s="1"/>
      <c r="G489" s="1"/>
      <c r="I489" s="1"/>
      <c r="J489" s="1"/>
      <c r="M489" s="1"/>
    </row>
    <row r="490" spans="1:13" x14ac:dyDescent="0.15">
      <c r="A490" s="1"/>
      <c r="D490" s="1"/>
      <c r="E490" s="1"/>
      <c r="G490" s="1"/>
      <c r="I490" s="1"/>
      <c r="J490" s="1"/>
      <c r="M490" s="1"/>
    </row>
    <row r="491" spans="1:13" x14ac:dyDescent="0.15">
      <c r="A491" s="1"/>
      <c r="D491" s="1"/>
      <c r="E491" s="1"/>
      <c r="G491" s="1"/>
      <c r="I491" s="1"/>
      <c r="J491" s="1"/>
      <c r="M491" s="1"/>
    </row>
    <row r="492" spans="1:13" x14ac:dyDescent="0.15">
      <c r="A492" s="1"/>
      <c r="D492" s="1"/>
      <c r="E492" s="1"/>
      <c r="G492" s="1"/>
      <c r="I492" s="1"/>
      <c r="J492" s="1"/>
      <c r="M492" s="1"/>
    </row>
    <row r="493" spans="1:13" x14ac:dyDescent="0.15">
      <c r="A493" s="1"/>
      <c r="D493" s="1"/>
      <c r="E493" s="1"/>
      <c r="G493" s="1"/>
      <c r="I493" s="1"/>
      <c r="J493" s="1"/>
      <c r="M493" s="1"/>
    </row>
    <row r="494" spans="1:13" x14ac:dyDescent="0.15">
      <c r="A494" s="1"/>
      <c r="D494" s="1"/>
      <c r="E494" s="1"/>
      <c r="G494" s="1"/>
      <c r="I494" s="1"/>
      <c r="J494" s="1"/>
      <c r="M494" s="1"/>
    </row>
    <row r="495" spans="1:13" x14ac:dyDescent="0.15">
      <c r="A495" s="1"/>
      <c r="D495" s="1"/>
      <c r="E495" s="1"/>
      <c r="G495" s="1"/>
      <c r="I495" s="1"/>
      <c r="J495" s="1"/>
      <c r="M495" s="1"/>
    </row>
    <row r="496" spans="1:13" x14ac:dyDescent="0.15">
      <c r="A496" s="1"/>
      <c r="D496" s="1"/>
      <c r="E496" s="1"/>
      <c r="G496" s="1"/>
      <c r="I496" s="1"/>
      <c r="J496" s="1"/>
      <c r="M496" s="1"/>
    </row>
    <row r="497" spans="1:13" x14ac:dyDescent="0.15">
      <c r="A497" s="1"/>
      <c r="D497" s="1"/>
      <c r="E497" s="1"/>
      <c r="G497" s="1"/>
      <c r="I497" s="1"/>
      <c r="J497" s="1"/>
      <c r="M497" s="1"/>
    </row>
    <row r="498" spans="1:13" x14ac:dyDescent="0.15">
      <c r="A498" s="1"/>
      <c r="D498" s="1"/>
      <c r="E498" s="1"/>
      <c r="G498" s="1"/>
      <c r="I498" s="1"/>
      <c r="J498" s="1"/>
      <c r="M498" s="1"/>
    </row>
    <row r="499" spans="1:13" x14ac:dyDescent="0.15">
      <c r="A499" s="1"/>
      <c r="D499" s="1"/>
      <c r="E499" s="1"/>
      <c r="G499" s="1"/>
      <c r="I499" s="1"/>
      <c r="J499" s="1"/>
      <c r="M499" s="1"/>
    </row>
    <row r="500" spans="1:13" x14ac:dyDescent="0.15">
      <c r="A500" s="1"/>
      <c r="D500" s="1"/>
      <c r="E500" s="1"/>
      <c r="G500" s="1"/>
      <c r="I500" s="1"/>
      <c r="J500" s="1"/>
      <c r="M500" s="1"/>
    </row>
    <row r="501" spans="1:13" x14ac:dyDescent="0.15">
      <c r="A501" s="1"/>
      <c r="D501" s="1"/>
      <c r="E501" s="1"/>
      <c r="G501" s="1"/>
      <c r="I501" s="1"/>
      <c r="J501" s="1"/>
      <c r="M501" s="1"/>
    </row>
    <row r="502" spans="1:13" x14ac:dyDescent="0.15">
      <c r="A502" s="1"/>
      <c r="D502" s="1"/>
      <c r="E502" s="1"/>
      <c r="G502" s="1"/>
      <c r="I502" s="1"/>
      <c r="J502" s="1"/>
      <c r="M502" s="1"/>
    </row>
    <row r="503" spans="1:13" x14ac:dyDescent="0.15">
      <c r="A503" s="1"/>
      <c r="D503" s="1"/>
      <c r="E503" s="1"/>
      <c r="G503" s="1"/>
      <c r="I503" s="1"/>
      <c r="J503" s="1"/>
      <c r="M503" s="1"/>
    </row>
    <row r="504" spans="1:13" x14ac:dyDescent="0.15">
      <c r="A504" s="1"/>
      <c r="D504" s="1"/>
      <c r="E504" s="1"/>
      <c r="G504" s="1"/>
      <c r="I504" s="1"/>
      <c r="J504" s="1"/>
      <c r="M504" s="1"/>
    </row>
    <row r="505" spans="1:13" x14ac:dyDescent="0.15">
      <c r="A505" s="1"/>
      <c r="D505" s="1"/>
      <c r="E505" s="1"/>
      <c r="G505" s="1"/>
      <c r="I505" s="1"/>
      <c r="J505" s="1"/>
      <c r="M505" s="1"/>
    </row>
    <row r="506" spans="1:13" x14ac:dyDescent="0.15">
      <c r="A506" s="1"/>
      <c r="D506" s="1"/>
      <c r="E506" s="1"/>
      <c r="G506" s="1"/>
      <c r="I506" s="1"/>
      <c r="J506" s="1"/>
      <c r="M506" s="1"/>
    </row>
    <row r="507" spans="1:13" x14ac:dyDescent="0.15">
      <c r="A507" s="1"/>
      <c r="D507" s="1"/>
      <c r="E507" s="1"/>
      <c r="G507" s="1"/>
      <c r="I507" s="1"/>
      <c r="J507" s="1"/>
      <c r="M507" s="1"/>
    </row>
    <row r="508" spans="1:13" x14ac:dyDescent="0.15">
      <c r="A508" s="1"/>
      <c r="D508" s="1"/>
      <c r="E508" s="1"/>
      <c r="G508" s="1"/>
      <c r="I508" s="1"/>
      <c r="J508" s="1"/>
      <c r="M508" s="1"/>
    </row>
    <row r="509" spans="1:13" x14ac:dyDescent="0.15">
      <c r="A509" s="1"/>
      <c r="D509" s="1"/>
      <c r="E509" s="1"/>
      <c r="G509" s="1"/>
      <c r="I509" s="1"/>
      <c r="J509" s="1"/>
      <c r="M509" s="1"/>
    </row>
    <row r="510" spans="1:13" x14ac:dyDescent="0.15">
      <c r="A510" s="1"/>
      <c r="D510" s="1"/>
      <c r="E510" s="1"/>
      <c r="G510" s="1"/>
      <c r="I510" s="1"/>
      <c r="J510" s="1"/>
      <c r="M510" s="1"/>
    </row>
    <row r="511" spans="1:13" x14ac:dyDescent="0.15">
      <c r="A511" s="1"/>
      <c r="D511" s="1"/>
      <c r="E511" s="1"/>
      <c r="G511" s="1"/>
      <c r="I511" s="1"/>
      <c r="J511" s="1"/>
      <c r="M511" s="1"/>
    </row>
    <row r="512" spans="1:13" x14ac:dyDescent="0.15">
      <c r="A512" s="1"/>
      <c r="D512" s="1"/>
      <c r="E512" s="1"/>
      <c r="G512" s="1"/>
      <c r="I512" s="1"/>
      <c r="J512" s="1"/>
      <c r="M512" s="1"/>
    </row>
    <row r="513" spans="1:13" x14ac:dyDescent="0.15">
      <c r="A513" s="1"/>
      <c r="D513" s="1"/>
      <c r="E513" s="1"/>
      <c r="G513" s="1"/>
      <c r="I513" s="1"/>
      <c r="J513" s="1"/>
      <c r="M513" s="1"/>
    </row>
    <row r="514" spans="1:13" x14ac:dyDescent="0.15">
      <c r="A514" s="1"/>
      <c r="D514" s="1"/>
      <c r="E514" s="1"/>
      <c r="G514" s="1"/>
      <c r="I514" s="1"/>
      <c r="J514" s="1"/>
      <c r="M514" s="1"/>
    </row>
    <row r="515" spans="1:13" x14ac:dyDescent="0.15">
      <c r="A515" s="1"/>
      <c r="D515" s="1"/>
      <c r="E515" s="1"/>
      <c r="G515" s="1"/>
      <c r="I515" s="1"/>
      <c r="J515" s="1"/>
      <c r="M515" s="1"/>
    </row>
    <row r="516" spans="1:13" x14ac:dyDescent="0.15">
      <c r="A516" s="1"/>
      <c r="D516" s="1"/>
      <c r="E516" s="1"/>
      <c r="G516" s="1"/>
      <c r="I516" s="1"/>
      <c r="J516" s="1"/>
      <c r="M516" s="1"/>
    </row>
    <row r="517" spans="1:13" x14ac:dyDescent="0.15">
      <c r="A517" s="1"/>
      <c r="D517" s="1"/>
      <c r="E517" s="1"/>
      <c r="G517" s="1"/>
      <c r="I517" s="1"/>
      <c r="J517" s="1"/>
      <c r="M517" s="1"/>
    </row>
    <row r="518" spans="1:13" x14ac:dyDescent="0.15">
      <c r="A518" s="1"/>
      <c r="D518" s="1"/>
      <c r="E518" s="1"/>
      <c r="G518" s="1"/>
      <c r="I518" s="1"/>
      <c r="J518" s="1"/>
      <c r="M518" s="1"/>
    </row>
    <row r="519" spans="1:13" x14ac:dyDescent="0.15">
      <c r="A519" s="1"/>
      <c r="D519" s="1"/>
      <c r="E519" s="1"/>
      <c r="G519" s="1"/>
      <c r="I519" s="1"/>
      <c r="J519" s="1"/>
      <c r="M519" s="1"/>
    </row>
    <row r="520" spans="1:13" x14ac:dyDescent="0.15">
      <c r="A520" s="1"/>
      <c r="D520" s="1"/>
      <c r="E520" s="1"/>
      <c r="G520" s="1"/>
      <c r="I520" s="1"/>
      <c r="J520" s="1"/>
      <c r="M520" s="1"/>
    </row>
    <row r="521" spans="1:13" x14ac:dyDescent="0.15">
      <c r="A521" s="1"/>
      <c r="D521" s="1"/>
      <c r="E521" s="1"/>
      <c r="G521" s="1"/>
      <c r="I521" s="1"/>
      <c r="J521" s="1"/>
      <c r="M521" s="1"/>
    </row>
    <row r="522" spans="1:13" x14ac:dyDescent="0.15">
      <c r="A522" s="1"/>
      <c r="D522" s="1"/>
      <c r="E522" s="1"/>
      <c r="G522" s="1"/>
      <c r="I522" s="1"/>
      <c r="J522" s="1"/>
      <c r="M522" s="1"/>
    </row>
    <row r="523" spans="1:13" x14ac:dyDescent="0.15">
      <c r="A523" s="1"/>
      <c r="D523" s="1"/>
      <c r="E523" s="1"/>
      <c r="G523" s="1"/>
      <c r="I523" s="1"/>
      <c r="J523" s="1"/>
      <c r="M523" s="1"/>
    </row>
    <row r="524" spans="1:13" x14ac:dyDescent="0.15">
      <c r="A524" s="1"/>
      <c r="D524" s="1"/>
      <c r="E524" s="1"/>
      <c r="G524" s="1"/>
      <c r="I524" s="1"/>
      <c r="J524" s="1"/>
      <c r="M524" s="1"/>
    </row>
    <row r="525" spans="1:13" x14ac:dyDescent="0.15">
      <c r="A525" s="1"/>
      <c r="D525" s="1"/>
      <c r="E525" s="1"/>
      <c r="G525" s="1"/>
      <c r="I525" s="1"/>
      <c r="J525" s="1"/>
      <c r="M525" s="1"/>
    </row>
    <row r="526" spans="1:13" x14ac:dyDescent="0.15">
      <c r="A526" s="1"/>
      <c r="D526" s="1"/>
      <c r="E526" s="1"/>
      <c r="G526" s="1"/>
      <c r="I526" s="1"/>
      <c r="J526" s="1"/>
      <c r="M526" s="1"/>
    </row>
    <row r="527" spans="1:13" x14ac:dyDescent="0.15">
      <c r="A527" s="1"/>
      <c r="D527" s="1"/>
      <c r="E527" s="1"/>
      <c r="G527" s="1"/>
      <c r="I527" s="1"/>
      <c r="J527" s="1"/>
      <c r="M527" s="1"/>
    </row>
    <row r="528" spans="1:13" x14ac:dyDescent="0.15">
      <c r="A528" s="1"/>
      <c r="D528" s="1"/>
      <c r="E528" s="1"/>
      <c r="G528" s="1"/>
      <c r="I528" s="1"/>
      <c r="J528" s="1"/>
      <c r="M528" s="1"/>
    </row>
    <row r="529" spans="1:13" x14ac:dyDescent="0.15">
      <c r="A529" s="1"/>
      <c r="D529" s="1"/>
      <c r="E529" s="1"/>
      <c r="G529" s="1"/>
      <c r="I529" s="1"/>
      <c r="J529" s="1"/>
      <c r="M529" s="1"/>
    </row>
    <row r="530" spans="1:13" x14ac:dyDescent="0.15">
      <c r="A530" s="1"/>
      <c r="D530" s="1"/>
      <c r="E530" s="1"/>
      <c r="G530" s="1"/>
      <c r="I530" s="1"/>
      <c r="J530" s="1"/>
      <c r="M530" s="1"/>
    </row>
    <row r="531" spans="1:13" x14ac:dyDescent="0.15">
      <c r="A531" s="1"/>
      <c r="D531" s="1"/>
      <c r="E531" s="1"/>
      <c r="G531" s="1"/>
      <c r="I531" s="1"/>
      <c r="J531" s="1"/>
      <c r="M531" s="1"/>
    </row>
    <row r="532" spans="1:13" x14ac:dyDescent="0.15">
      <c r="A532" s="1"/>
      <c r="D532" s="1"/>
      <c r="E532" s="1"/>
      <c r="G532" s="1"/>
      <c r="I532" s="1"/>
      <c r="J532" s="1"/>
      <c r="M532" s="1"/>
    </row>
    <row r="533" spans="1:13" x14ac:dyDescent="0.15">
      <c r="A533" s="1"/>
      <c r="D533" s="1"/>
      <c r="E533" s="1"/>
      <c r="G533" s="1"/>
      <c r="I533" s="1"/>
      <c r="J533" s="1"/>
      <c r="M533" s="1"/>
    </row>
    <row r="534" spans="1:13" x14ac:dyDescent="0.15">
      <c r="A534" s="1"/>
      <c r="D534" s="1"/>
      <c r="E534" s="1"/>
      <c r="G534" s="1"/>
      <c r="I534" s="1"/>
      <c r="J534" s="1"/>
      <c r="M534" s="1"/>
    </row>
    <row r="535" spans="1:13" x14ac:dyDescent="0.15">
      <c r="A535" s="1"/>
      <c r="D535" s="1"/>
      <c r="E535" s="1"/>
      <c r="G535" s="1"/>
      <c r="I535" s="1"/>
      <c r="J535" s="1"/>
      <c r="M535" s="1"/>
    </row>
    <row r="536" spans="1:13" x14ac:dyDescent="0.15">
      <c r="A536" s="1"/>
      <c r="D536" s="1"/>
      <c r="E536" s="1"/>
      <c r="G536" s="1"/>
      <c r="I536" s="1"/>
      <c r="J536" s="1"/>
      <c r="M536" s="1"/>
    </row>
    <row r="537" spans="1:13" x14ac:dyDescent="0.15">
      <c r="A537" s="1"/>
      <c r="D537" s="1"/>
      <c r="E537" s="1"/>
      <c r="G537" s="1"/>
      <c r="I537" s="1"/>
      <c r="J537" s="1"/>
      <c r="M537" s="1"/>
    </row>
    <row r="538" spans="1:13" x14ac:dyDescent="0.15">
      <c r="A538" s="1"/>
      <c r="D538" s="1"/>
      <c r="E538" s="1"/>
      <c r="G538" s="1"/>
      <c r="I538" s="1"/>
      <c r="J538" s="1"/>
      <c r="M538" s="1"/>
    </row>
    <row r="539" spans="1:13" x14ac:dyDescent="0.15">
      <c r="A539" s="1"/>
      <c r="D539" s="1"/>
      <c r="E539" s="1"/>
      <c r="G539" s="1"/>
      <c r="I539" s="1"/>
      <c r="J539" s="1"/>
      <c r="M539" s="1"/>
    </row>
    <row r="540" spans="1:13" x14ac:dyDescent="0.15">
      <c r="A540" s="1"/>
      <c r="D540" s="1"/>
      <c r="E540" s="1"/>
      <c r="G540" s="1"/>
      <c r="I540" s="1"/>
      <c r="J540" s="1"/>
      <c r="M540" s="1"/>
    </row>
    <row r="541" spans="1:13" x14ac:dyDescent="0.15">
      <c r="A541" s="1"/>
      <c r="D541" s="1"/>
      <c r="E541" s="1"/>
      <c r="G541" s="1"/>
      <c r="I541" s="1"/>
      <c r="J541" s="1"/>
      <c r="M541" s="1"/>
    </row>
    <row r="542" spans="1:13" x14ac:dyDescent="0.15">
      <c r="A542" s="1"/>
      <c r="D542" s="1"/>
      <c r="E542" s="1"/>
      <c r="G542" s="1"/>
      <c r="I542" s="1"/>
      <c r="J542" s="1"/>
      <c r="M542" s="1"/>
    </row>
    <row r="543" spans="1:13" x14ac:dyDescent="0.15">
      <c r="A543" s="1"/>
      <c r="D543" s="1"/>
      <c r="E543" s="1"/>
      <c r="G543" s="1"/>
      <c r="I543" s="1"/>
      <c r="J543" s="1"/>
      <c r="M543" s="1"/>
    </row>
    <row r="544" spans="1:13" x14ac:dyDescent="0.15">
      <c r="A544" s="1"/>
      <c r="D544" s="1"/>
      <c r="E544" s="1"/>
      <c r="G544" s="1"/>
      <c r="I544" s="1"/>
      <c r="J544" s="1"/>
      <c r="M544" s="1"/>
    </row>
    <row r="545" spans="1:13" x14ac:dyDescent="0.15">
      <c r="A545" s="1"/>
      <c r="D545" s="1"/>
      <c r="E545" s="1"/>
      <c r="G545" s="1"/>
      <c r="I545" s="1"/>
      <c r="J545" s="1"/>
      <c r="M545" s="1"/>
    </row>
    <row r="546" spans="1:13" x14ac:dyDescent="0.15">
      <c r="A546" s="1"/>
      <c r="D546" s="1"/>
      <c r="E546" s="1"/>
      <c r="G546" s="1"/>
      <c r="I546" s="1"/>
      <c r="J546" s="1"/>
      <c r="M546" s="1"/>
    </row>
    <row r="547" spans="1:13" x14ac:dyDescent="0.15">
      <c r="A547" s="1"/>
      <c r="D547" s="1"/>
      <c r="E547" s="1"/>
      <c r="G547" s="1"/>
      <c r="I547" s="1"/>
      <c r="J547" s="1"/>
      <c r="M547" s="1"/>
    </row>
    <row r="548" spans="1:13" x14ac:dyDescent="0.15">
      <c r="A548" s="1"/>
      <c r="D548" s="1"/>
      <c r="E548" s="1"/>
      <c r="G548" s="1"/>
      <c r="I548" s="1"/>
      <c r="J548" s="1"/>
      <c r="M548" s="1"/>
    </row>
    <row r="549" spans="1:13" x14ac:dyDescent="0.15">
      <c r="A549" s="1"/>
      <c r="D549" s="1"/>
      <c r="E549" s="1"/>
      <c r="G549" s="1"/>
      <c r="I549" s="1"/>
      <c r="J549" s="1"/>
      <c r="M549" s="1"/>
    </row>
    <row r="550" spans="1:13" x14ac:dyDescent="0.15">
      <c r="A550" s="1"/>
      <c r="D550" s="1"/>
      <c r="E550" s="1"/>
      <c r="G550" s="1"/>
      <c r="I550" s="1"/>
      <c r="J550" s="1"/>
      <c r="M550" s="1"/>
    </row>
    <row r="551" spans="1:13" x14ac:dyDescent="0.15">
      <c r="A551" s="1"/>
      <c r="D551" s="1"/>
      <c r="E551" s="1"/>
      <c r="G551" s="1"/>
      <c r="I551" s="1"/>
      <c r="J551" s="1"/>
      <c r="M551" s="1"/>
    </row>
    <row r="552" spans="1:13" x14ac:dyDescent="0.15">
      <c r="A552" s="1"/>
      <c r="D552" s="1"/>
      <c r="E552" s="1"/>
      <c r="G552" s="1"/>
      <c r="I552" s="1"/>
      <c r="J552" s="1"/>
      <c r="M552" s="1"/>
    </row>
    <row r="553" spans="1:13" x14ac:dyDescent="0.15">
      <c r="A553" s="1"/>
      <c r="D553" s="1"/>
      <c r="E553" s="1"/>
      <c r="G553" s="1"/>
      <c r="I553" s="1"/>
      <c r="J553" s="1"/>
      <c r="M553" s="1"/>
    </row>
    <row r="554" spans="1:13" x14ac:dyDescent="0.15">
      <c r="A554" s="1"/>
      <c r="D554" s="1"/>
      <c r="E554" s="1"/>
      <c r="G554" s="1"/>
      <c r="I554" s="1"/>
      <c r="J554" s="1"/>
      <c r="M554" s="1"/>
    </row>
    <row r="555" spans="1:13" x14ac:dyDescent="0.15">
      <c r="A555" s="1"/>
      <c r="D555" s="1"/>
      <c r="E555" s="1"/>
      <c r="G555" s="1"/>
      <c r="I555" s="1"/>
      <c r="J555" s="1"/>
      <c r="M555" s="1"/>
    </row>
    <row r="556" spans="1:13" x14ac:dyDescent="0.15">
      <c r="A556" s="1"/>
      <c r="D556" s="1"/>
      <c r="E556" s="1"/>
      <c r="G556" s="1"/>
      <c r="I556" s="1"/>
      <c r="J556" s="1"/>
      <c r="M556" s="1"/>
    </row>
    <row r="557" spans="1:13" x14ac:dyDescent="0.15">
      <c r="A557" s="1"/>
      <c r="D557" s="1"/>
      <c r="E557" s="1"/>
      <c r="G557" s="1"/>
      <c r="I557" s="1"/>
      <c r="J557" s="1"/>
      <c r="M557" s="1"/>
    </row>
    <row r="558" spans="1:13" x14ac:dyDescent="0.15">
      <c r="A558" s="1"/>
      <c r="D558" s="1"/>
      <c r="E558" s="1"/>
      <c r="G558" s="1"/>
      <c r="I558" s="1"/>
      <c r="J558" s="1"/>
      <c r="M558" s="1"/>
    </row>
    <row r="559" spans="1:13" x14ac:dyDescent="0.15">
      <c r="A559" s="1"/>
      <c r="D559" s="1"/>
      <c r="E559" s="1"/>
      <c r="G559" s="1"/>
      <c r="I559" s="1"/>
      <c r="J559" s="1"/>
      <c r="M559" s="1"/>
    </row>
    <row r="560" spans="1:13" x14ac:dyDescent="0.15">
      <c r="A560" s="1"/>
      <c r="D560" s="1"/>
      <c r="E560" s="1"/>
      <c r="G560" s="1"/>
      <c r="I560" s="1"/>
      <c r="J560" s="1"/>
      <c r="M560" s="1"/>
    </row>
    <row r="561" spans="1:13" x14ac:dyDescent="0.15">
      <c r="A561" s="1"/>
      <c r="D561" s="1"/>
      <c r="E561" s="1"/>
      <c r="G561" s="1"/>
      <c r="I561" s="1"/>
      <c r="J561" s="1"/>
      <c r="M561" s="1"/>
    </row>
    <row r="562" spans="1:13" x14ac:dyDescent="0.15">
      <c r="A562" s="1"/>
      <c r="D562" s="1"/>
      <c r="E562" s="1"/>
      <c r="G562" s="1"/>
      <c r="I562" s="1"/>
      <c r="J562" s="1"/>
      <c r="M562" s="1"/>
    </row>
    <row r="563" spans="1:13" x14ac:dyDescent="0.15">
      <c r="A563" s="1"/>
      <c r="D563" s="1"/>
      <c r="E563" s="1"/>
      <c r="G563" s="1"/>
      <c r="I563" s="1"/>
      <c r="J563" s="1"/>
      <c r="M563" s="1"/>
    </row>
    <row r="564" spans="1:13" x14ac:dyDescent="0.15">
      <c r="A564" s="1"/>
      <c r="D564" s="1"/>
      <c r="E564" s="1"/>
      <c r="G564" s="1"/>
      <c r="I564" s="1"/>
      <c r="J564" s="1"/>
      <c r="M564" s="1"/>
    </row>
    <row r="565" spans="1:13" x14ac:dyDescent="0.15">
      <c r="A565" s="1"/>
      <c r="D565" s="1"/>
      <c r="E565" s="1"/>
      <c r="G565" s="1"/>
      <c r="I565" s="1"/>
      <c r="J565" s="1"/>
      <c r="M565" s="1"/>
    </row>
    <row r="566" spans="1:13" x14ac:dyDescent="0.15">
      <c r="A566" s="1"/>
      <c r="D566" s="1"/>
      <c r="E566" s="1"/>
      <c r="G566" s="1"/>
      <c r="I566" s="1"/>
      <c r="J566" s="1"/>
      <c r="M566" s="1"/>
    </row>
    <row r="567" spans="1:13" x14ac:dyDescent="0.15">
      <c r="A567" s="1"/>
      <c r="D567" s="1"/>
      <c r="E567" s="1"/>
      <c r="G567" s="1"/>
      <c r="I567" s="1"/>
      <c r="J567" s="1"/>
      <c r="M567" s="1"/>
    </row>
    <row r="568" spans="1:13" x14ac:dyDescent="0.15">
      <c r="A568" s="1"/>
      <c r="D568" s="1"/>
      <c r="E568" s="1"/>
      <c r="G568" s="1"/>
      <c r="I568" s="1"/>
      <c r="J568" s="1"/>
      <c r="M568" s="1"/>
    </row>
    <row r="569" spans="1:13" x14ac:dyDescent="0.15">
      <c r="A569" s="1"/>
      <c r="D569" s="1"/>
      <c r="E569" s="1"/>
      <c r="G569" s="1"/>
      <c r="I569" s="1"/>
      <c r="J569" s="1"/>
      <c r="M569" s="1"/>
    </row>
    <row r="570" spans="1:13" x14ac:dyDescent="0.15">
      <c r="A570" s="1"/>
      <c r="D570" s="1"/>
      <c r="E570" s="1"/>
      <c r="G570" s="1"/>
      <c r="I570" s="1"/>
      <c r="J570" s="1"/>
      <c r="M570" s="1"/>
    </row>
    <row r="571" spans="1:13" x14ac:dyDescent="0.15">
      <c r="A571" s="1"/>
      <c r="D571" s="1"/>
      <c r="E571" s="1"/>
      <c r="G571" s="1"/>
      <c r="I571" s="1"/>
      <c r="J571" s="1"/>
      <c r="M571" s="1"/>
    </row>
    <row r="572" spans="1:13" x14ac:dyDescent="0.15">
      <c r="A572" s="1"/>
      <c r="D572" s="1"/>
      <c r="E572" s="1"/>
      <c r="G572" s="1"/>
      <c r="I572" s="1"/>
      <c r="J572" s="1"/>
      <c r="M572" s="1"/>
    </row>
    <row r="573" spans="1:13" x14ac:dyDescent="0.15">
      <c r="A573" s="1"/>
      <c r="D573" s="1"/>
      <c r="E573" s="1"/>
      <c r="G573" s="1"/>
      <c r="I573" s="1"/>
      <c r="J573" s="1"/>
      <c r="M573" s="1"/>
    </row>
    <row r="574" spans="1:13" x14ac:dyDescent="0.15">
      <c r="A574" s="1"/>
      <c r="D574" s="1"/>
      <c r="E574" s="1"/>
      <c r="G574" s="1"/>
      <c r="I574" s="1"/>
      <c r="J574" s="1"/>
      <c r="M574" s="1"/>
    </row>
    <row r="575" spans="1:13" x14ac:dyDescent="0.15">
      <c r="A575" s="1"/>
      <c r="D575" s="1"/>
      <c r="E575" s="1"/>
      <c r="G575" s="1"/>
      <c r="I575" s="1"/>
      <c r="J575" s="1"/>
      <c r="M575" s="1"/>
    </row>
    <row r="576" spans="1:13" x14ac:dyDescent="0.15">
      <c r="A576" s="1"/>
      <c r="D576" s="1"/>
      <c r="E576" s="1"/>
      <c r="G576" s="1"/>
      <c r="I576" s="1"/>
      <c r="J576" s="1"/>
      <c r="M576" s="1"/>
    </row>
    <row r="577" spans="1:13" x14ac:dyDescent="0.15">
      <c r="A577" s="1"/>
      <c r="D577" s="1"/>
      <c r="E577" s="1"/>
      <c r="G577" s="1"/>
      <c r="I577" s="1"/>
      <c r="J577" s="1"/>
      <c r="M577" s="1"/>
    </row>
    <row r="578" spans="1:13" x14ac:dyDescent="0.15">
      <c r="A578" s="1"/>
      <c r="D578" s="1"/>
      <c r="E578" s="1"/>
      <c r="G578" s="1"/>
      <c r="I578" s="1"/>
      <c r="J578" s="1"/>
      <c r="M578" s="1"/>
    </row>
    <row r="579" spans="1:13" x14ac:dyDescent="0.15">
      <c r="A579" s="1"/>
      <c r="D579" s="1"/>
      <c r="E579" s="1"/>
      <c r="G579" s="1"/>
      <c r="I579" s="1"/>
      <c r="J579" s="1"/>
      <c r="M579" s="1"/>
    </row>
    <row r="580" spans="1:13" x14ac:dyDescent="0.15">
      <c r="A580" s="1"/>
      <c r="D580" s="1"/>
      <c r="E580" s="1"/>
      <c r="G580" s="1"/>
      <c r="I580" s="1"/>
      <c r="J580" s="1"/>
      <c r="M580" s="1"/>
    </row>
    <row r="581" spans="1:13" x14ac:dyDescent="0.15">
      <c r="A581" s="1"/>
      <c r="D581" s="1"/>
      <c r="E581" s="1"/>
      <c r="G581" s="1"/>
      <c r="I581" s="1"/>
      <c r="J581" s="1"/>
      <c r="M581" s="1"/>
    </row>
    <row r="582" spans="1:13" x14ac:dyDescent="0.15">
      <c r="A582" s="1"/>
      <c r="D582" s="1"/>
      <c r="E582" s="1"/>
      <c r="G582" s="1"/>
      <c r="I582" s="1"/>
      <c r="J582" s="1"/>
      <c r="M582" s="1"/>
    </row>
    <row r="583" spans="1:13" x14ac:dyDescent="0.15">
      <c r="A583" s="1"/>
      <c r="D583" s="1"/>
      <c r="E583" s="1"/>
      <c r="G583" s="1"/>
      <c r="I583" s="1"/>
      <c r="J583" s="1"/>
      <c r="M583" s="1"/>
    </row>
    <row r="584" spans="1:13" x14ac:dyDescent="0.15">
      <c r="A584" s="1"/>
      <c r="D584" s="1"/>
      <c r="E584" s="1"/>
      <c r="G584" s="1"/>
      <c r="I584" s="1"/>
      <c r="J584" s="1"/>
      <c r="M584" s="1"/>
    </row>
    <row r="585" spans="1:13" x14ac:dyDescent="0.15">
      <c r="A585" s="1"/>
      <c r="D585" s="1"/>
      <c r="E585" s="1"/>
      <c r="G585" s="1"/>
      <c r="I585" s="1"/>
      <c r="J585" s="1"/>
      <c r="M585" s="1"/>
    </row>
    <row r="586" spans="1:13" x14ac:dyDescent="0.15">
      <c r="A586" s="1"/>
      <c r="D586" s="1"/>
      <c r="E586" s="1"/>
      <c r="G586" s="1"/>
      <c r="I586" s="1"/>
      <c r="J586" s="1"/>
      <c r="M586" s="1"/>
    </row>
    <row r="587" spans="1:13" x14ac:dyDescent="0.15">
      <c r="A587" s="1"/>
      <c r="D587" s="1"/>
      <c r="E587" s="1"/>
      <c r="G587" s="1"/>
      <c r="I587" s="1"/>
      <c r="J587" s="1"/>
      <c r="M587" s="1"/>
    </row>
    <row r="588" spans="1:13" x14ac:dyDescent="0.15">
      <c r="A588" s="1"/>
      <c r="D588" s="1"/>
      <c r="E588" s="1"/>
      <c r="G588" s="1"/>
      <c r="I588" s="1"/>
      <c r="J588" s="1"/>
      <c r="M588" s="1"/>
    </row>
    <row r="589" spans="1:13" x14ac:dyDescent="0.15">
      <c r="A589" s="1"/>
      <c r="D589" s="1"/>
      <c r="E589" s="1"/>
      <c r="G589" s="1"/>
      <c r="I589" s="1"/>
      <c r="J589" s="1"/>
      <c r="M589" s="1"/>
    </row>
    <row r="590" spans="1:13" x14ac:dyDescent="0.15">
      <c r="A590" s="1"/>
      <c r="D590" s="1"/>
      <c r="E590" s="1"/>
      <c r="G590" s="1"/>
      <c r="I590" s="1"/>
      <c r="J590" s="1"/>
      <c r="M590" s="1"/>
    </row>
    <row r="591" spans="1:13" x14ac:dyDescent="0.15">
      <c r="A591" s="1"/>
      <c r="D591" s="1"/>
      <c r="E591" s="1"/>
      <c r="G591" s="1"/>
      <c r="I591" s="1"/>
      <c r="J591" s="1"/>
      <c r="M591" s="1"/>
    </row>
    <row r="592" spans="1:13" x14ac:dyDescent="0.15">
      <c r="A592" s="1"/>
      <c r="D592" s="1"/>
      <c r="E592" s="1"/>
      <c r="G592" s="1"/>
      <c r="I592" s="1"/>
      <c r="J592" s="1"/>
      <c r="M592" s="1"/>
    </row>
    <row r="593" spans="1:13" x14ac:dyDescent="0.15">
      <c r="A593" s="1"/>
      <c r="D593" s="1"/>
      <c r="E593" s="1"/>
      <c r="G593" s="1"/>
      <c r="I593" s="1"/>
      <c r="J593" s="1"/>
      <c r="M593" s="1"/>
    </row>
    <row r="594" spans="1:13" x14ac:dyDescent="0.15">
      <c r="A594" s="1"/>
      <c r="D594" s="1"/>
      <c r="E594" s="1"/>
      <c r="G594" s="1"/>
      <c r="I594" s="1"/>
      <c r="J594" s="1"/>
      <c r="M594" s="1"/>
    </row>
    <row r="595" spans="1:13" x14ac:dyDescent="0.15">
      <c r="A595" s="1"/>
      <c r="D595" s="1"/>
      <c r="E595" s="1"/>
      <c r="G595" s="1"/>
      <c r="I595" s="1"/>
      <c r="J595" s="1"/>
      <c r="M595" s="1"/>
    </row>
    <row r="596" spans="1:13" x14ac:dyDescent="0.15">
      <c r="A596" s="1"/>
      <c r="D596" s="1"/>
      <c r="E596" s="1"/>
      <c r="G596" s="1"/>
      <c r="I596" s="1"/>
      <c r="J596" s="1"/>
      <c r="M596" s="1"/>
    </row>
    <row r="597" spans="1:13" x14ac:dyDescent="0.15">
      <c r="A597" s="1"/>
      <c r="D597" s="1"/>
      <c r="E597" s="1"/>
      <c r="G597" s="1"/>
      <c r="I597" s="1"/>
      <c r="J597" s="1"/>
      <c r="M597" s="1"/>
    </row>
    <row r="598" spans="1:13" x14ac:dyDescent="0.15">
      <c r="A598" s="1"/>
      <c r="D598" s="1"/>
      <c r="E598" s="1"/>
      <c r="G598" s="1"/>
      <c r="I598" s="1"/>
      <c r="J598" s="1"/>
      <c r="M598" s="1"/>
    </row>
    <row r="599" spans="1:13" x14ac:dyDescent="0.15">
      <c r="A599" s="1"/>
      <c r="D599" s="1"/>
      <c r="E599" s="1"/>
      <c r="G599" s="1"/>
      <c r="I599" s="1"/>
      <c r="J599" s="1"/>
      <c r="M599" s="1"/>
    </row>
    <row r="600" spans="1:13" x14ac:dyDescent="0.15">
      <c r="A600" s="1"/>
      <c r="D600" s="1"/>
      <c r="E600" s="1"/>
      <c r="G600" s="1"/>
      <c r="I600" s="1"/>
      <c r="J600" s="1"/>
      <c r="M600" s="1"/>
    </row>
    <row r="601" spans="1:13" x14ac:dyDescent="0.15">
      <c r="A601" s="1"/>
      <c r="D601" s="1"/>
      <c r="E601" s="1"/>
      <c r="G601" s="1"/>
      <c r="I601" s="1"/>
      <c r="J601" s="1"/>
      <c r="M601" s="1"/>
    </row>
    <row r="602" spans="1:13" x14ac:dyDescent="0.15">
      <c r="A602" s="1"/>
      <c r="D602" s="1"/>
      <c r="E602" s="1"/>
      <c r="G602" s="1"/>
      <c r="I602" s="1"/>
      <c r="J602" s="1"/>
      <c r="M602" s="1"/>
    </row>
    <row r="603" spans="1:13" x14ac:dyDescent="0.15">
      <c r="A603" s="1"/>
      <c r="D603" s="1"/>
      <c r="E603" s="1"/>
      <c r="G603" s="1"/>
      <c r="I603" s="1"/>
      <c r="J603" s="1"/>
      <c r="M603" s="1"/>
    </row>
    <row r="604" spans="1:13" x14ac:dyDescent="0.15">
      <c r="A604" s="1"/>
      <c r="D604" s="1"/>
      <c r="E604" s="1"/>
      <c r="G604" s="1"/>
      <c r="I604" s="1"/>
      <c r="J604" s="1"/>
      <c r="M604" s="1"/>
    </row>
    <row r="605" spans="1:13" x14ac:dyDescent="0.15">
      <c r="A605" s="1"/>
      <c r="D605" s="1"/>
      <c r="E605" s="1"/>
      <c r="G605" s="1"/>
      <c r="I605" s="1"/>
      <c r="J605" s="1"/>
      <c r="M605" s="1"/>
    </row>
    <row r="606" spans="1:13" x14ac:dyDescent="0.15">
      <c r="A606" s="1"/>
      <c r="D606" s="1"/>
      <c r="E606" s="1"/>
      <c r="G606" s="1"/>
      <c r="I606" s="1"/>
      <c r="J606" s="1"/>
      <c r="M606" s="1"/>
    </row>
    <row r="607" spans="1:13" x14ac:dyDescent="0.15">
      <c r="A607" s="1"/>
      <c r="D607" s="1"/>
      <c r="E607" s="1"/>
      <c r="G607" s="1"/>
      <c r="I607" s="1"/>
      <c r="J607" s="1"/>
      <c r="M607" s="1"/>
    </row>
    <row r="608" spans="1:13" x14ac:dyDescent="0.15">
      <c r="A608" s="1"/>
      <c r="D608" s="1"/>
      <c r="E608" s="1"/>
      <c r="G608" s="1"/>
      <c r="I608" s="1"/>
      <c r="J608" s="1"/>
      <c r="M608" s="1"/>
    </row>
    <row r="609" spans="1:13" x14ac:dyDescent="0.15">
      <c r="A609" s="1"/>
      <c r="D609" s="1"/>
      <c r="E609" s="1"/>
      <c r="G609" s="1"/>
      <c r="I609" s="1"/>
      <c r="J609" s="1"/>
      <c r="M609" s="1"/>
    </row>
    <row r="610" spans="1:13" x14ac:dyDescent="0.15">
      <c r="A610" s="1"/>
      <c r="D610" s="1"/>
      <c r="E610" s="1"/>
      <c r="G610" s="1"/>
      <c r="I610" s="1"/>
      <c r="J610" s="1"/>
      <c r="M610" s="1"/>
    </row>
    <row r="611" spans="1:13" x14ac:dyDescent="0.15">
      <c r="A611" s="1"/>
      <c r="D611" s="1"/>
      <c r="E611" s="1"/>
      <c r="G611" s="1"/>
      <c r="I611" s="1"/>
      <c r="J611" s="1"/>
      <c r="M611" s="1"/>
    </row>
    <row r="612" spans="1:13" x14ac:dyDescent="0.15">
      <c r="A612" s="1"/>
      <c r="D612" s="1"/>
      <c r="E612" s="1"/>
      <c r="G612" s="1"/>
      <c r="I612" s="1"/>
      <c r="J612" s="1"/>
      <c r="M612" s="1"/>
    </row>
    <row r="613" spans="1:13" x14ac:dyDescent="0.15">
      <c r="A613" s="1"/>
      <c r="D613" s="1"/>
      <c r="E613" s="1"/>
      <c r="G613" s="1"/>
      <c r="I613" s="1"/>
      <c r="J613" s="1"/>
      <c r="M613" s="1"/>
    </row>
    <row r="614" spans="1:13" x14ac:dyDescent="0.15">
      <c r="A614" s="1"/>
      <c r="D614" s="1"/>
      <c r="E614" s="1"/>
      <c r="G614" s="1"/>
      <c r="I614" s="1"/>
      <c r="J614" s="1"/>
      <c r="M614" s="1"/>
    </row>
    <row r="615" spans="1:13" x14ac:dyDescent="0.15">
      <c r="A615" s="1"/>
      <c r="D615" s="1"/>
      <c r="E615" s="1"/>
      <c r="G615" s="1"/>
      <c r="I615" s="1"/>
      <c r="J615" s="1"/>
      <c r="M615" s="1"/>
    </row>
    <row r="616" spans="1:13" x14ac:dyDescent="0.15">
      <c r="A616" s="1"/>
      <c r="D616" s="1"/>
      <c r="E616" s="1"/>
      <c r="G616" s="1"/>
      <c r="I616" s="1"/>
      <c r="J616" s="1"/>
      <c r="M616" s="1"/>
    </row>
    <row r="617" spans="1:13" x14ac:dyDescent="0.15">
      <c r="A617" s="1"/>
      <c r="D617" s="1"/>
      <c r="E617" s="1"/>
      <c r="G617" s="1"/>
      <c r="I617" s="1"/>
      <c r="J617" s="1"/>
      <c r="M617" s="1"/>
    </row>
    <row r="618" spans="1:13" x14ac:dyDescent="0.15">
      <c r="A618" s="1"/>
      <c r="D618" s="1"/>
      <c r="E618" s="1"/>
      <c r="G618" s="1"/>
      <c r="I618" s="1"/>
      <c r="J618" s="1"/>
      <c r="M618" s="1"/>
    </row>
    <row r="619" spans="1:13" x14ac:dyDescent="0.15">
      <c r="A619" s="1"/>
      <c r="D619" s="1"/>
      <c r="E619" s="1"/>
      <c r="G619" s="1"/>
      <c r="I619" s="1"/>
      <c r="J619" s="1"/>
      <c r="M619" s="1"/>
    </row>
    <row r="620" spans="1:13" x14ac:dyDescent="0.15">
      <c r="A620" s="1"/>
      <c r="D620" s="1"/>
      <c r="E620" s="1"/>
      <c r="G620" s="1"/>
      <c r="I620" s="1"/>
      <c r="J620" s="1"/>
      <c r="M620" s="1"/>
    </row>
    <row r="621" spans="1:13" x14ac:dyDescent="0.15">
      <c r="A621" s="1"/>
      <c r="D621" s="1"/>
      <c r="E621" s="1"/>
      <c r="G621" s="1"/>
      <c r="I621" s="1"/>
      <c r="J621" s="1"/>
      <c r="M621" s="1"/>
    </row>
    <row r="622" spans="1:13" x14ac:dyDescent="0.15">
      <c r="A622" s="1"/>
      <c r="D622" s="1"/>
      <c r="E622" s="1"/>
      <c r="G622" s="1"/>
      <c r="I622" s="1"/>
      <c r="J622" s="1"/>
      <c r="M622" s="1"/>
    </row>
    <row r="623" spans="1:13" x14ac:dyDescent="0.15">
      <c r="A623" s="1"/>
      <c r="D623" s="1"/>
      <c r="E623" s="1"/>
      <c r="G623" s="1"/>
      <c r="I623" s="1"/>
      <c r="J623" s="1"/>
      <c r="M623" s="1"/>
    </row>
    <row r="624" spans="1:13" x14ac:dyDescent="0.15">
      <c r="A624" s="1"/>
      <c r="D624" s="1"/>
      <c r="E624" s="1"/>
      <c r="G624" s="1"/>
      <c r="I624" s="1"/>
      <c r="J624" s="1"/>
      <c r="M624" s="1"/>
    </row>
    <row r="625" spans="1:13" x14ac:dyDescent="0.15">
      <c r="A625" s="1"/>
      <c r="D625" s="1"/>
      <c r="E625" s="1"/>
      <c r="G625" s="1"/>
      <c r="I625" s="1"/>
      <c r="J625" s="1"/>
      <c r="M625" s="1"/>
    </row>
    <row r="626" spans="1:13" x14ac:dyDescent="0.15">
      <c r="A626" s="1"/>
      <c r="D626" s="1"/>
      <c r="E626" s="1"/>
      <c r="G626" s="1"/>
      <c r="I626" s="1"/>
      <c r="J626" s="1"/>
      <c r="M626" s="1"/>
    </row>
    <row r="627" spans="1:13" x14ac:dyDescent="0.15">
      <c r="A627" s="1"/>
      <c r="D627" s="1"/>
      <c r="E627" s="1"/>
      <c r="G627" s="1"/>
      <c r="I627" s="1"/>
      <c r="J627" s="1"/>
      <c r="M627" s="1"/>
    </row>
    <row r="628" spans="1:13" x14ac:dyDescent="0.15">
      <c r="A628" s="1"/>
      <c r="D628" s="1"/>
      <c r="E628" s="1"/>
      <c r="G628" s="1"/>
      <c r="I628" s="1"/>
      <c r="J628" s="1"/>
      <c r="M628" s="1"/>
    </row>
    <row r="629" spans="1:13" x14ac:dyDescent="0.15">
      <c r="A629" s="1"/>
      <c r="D629" s="1"/>
      <c r="E629" s="1"/>
      <c r="G629" s="1"/>
      <c r="I629" s="1"/>
      <c r="J629" s="1"/>
      <c r="M629" s="1"/>
    </row>
    <row r="630" spans="1:13" x14ac:dyDescent="0.15">
      <c r="A630" s="1"/>
      <c r="D630" s="1"/>
      <c r="E630" s="1"/>
      <c r="G630" s="1"/>
      <c r="I630" s="1"/>
      <c r="J630" s="1"/>
      <c r="M630" s="1"/>
    </row>
    <row r="631" spans="1:13" x14ac:dyDescent="0.15">
      <c r="A631" s="1"/>
      <c r="D631" s="1"/>
      <c r="E631" s="1"/>
      <c r="G631" s="1"/>
      <c r="I631" s="1"/>
      <c r="J631" s="1"/>
      <c r="M631" s="1"/>
    </row>
    <row r="632" spans="1:13" x14ac:dyDescent="0.15">
      <c r="A632" s="1"/>
      <c r="D632" s="1"/>
      <c r="E632" s="1"/>
      <c r="G632" s="1"/>
      <c r="I632" s="1"/>
      <c r="J632" s="1"/>
      <c r="M632" s="1"/>
    </row>
    <row r="633" spans="1:13" x14ac:dyDescent="0.15">
      <c r="A633" s="1"/>
      <c r="D633" s="1"/>
      <c r="E633" s="1"/>
      <c r="G633" s="1"/>
      <c r="I633" s="1"/>
      <c r="J633" s="1"/>
      <c r="M633" s="1"/>
    </row>
    <row r="634" spans="1:13" x14ac:dyDescent="0.15">
      <c r="A634" s="1"/>
      <c r="D634" s="1"/>
      <c r="E634" s="1"/>
      <c r="G634" s="1"/>
      <c r="I634" s="1"/>
      <c r="J634" s="1"/>
      <c r="M634" s="1"/>
    </row>
    <row r="635" spans="1:13" x14ac:dyDescent="0.15">
      <c r="A635" s="1"/>
      <c r="D635" s="1"/>
      <c r="E635" s="1"/>
      <c r="G635" s="1"/>
      <c r="I635" s="1"/>
      <c r="J635" s="1"/>
      <c r="M635" s="1"/>
    </row>
    <row r="636" spans="1:13" x14ac:dyDescent="0.15">
      <c r="A636" s="1"/>
      <c r="D636" s="1"/>
      <c r="E636" s="1"/>
      <c r="G636" s="1"/>
      <c r="I636" s="1"/>
      <c r="J636" s="1"/>
      <c r="M636" s="1"/>
    </row>
    <row r="637" spans="1:13" x14ac:dyDescent="0.15">
      <c r="A637" s="1"/>
      <c r="D637" s="1"/>
      <c r="E637" s="1"/>
      <c r="G637" s="1"/>
      <c r="I637" s="1"/>
      <c r="J637" s="1"/>
      <c r="M637" s="1"/>
    </row>
    <row r="638" spans="1:13" x14ac:dyDescent="0.15">
      <c r="A638" s="1"/>
      <c r="D638" s="1"/>
      <c r="E638" s="1"/>
      <c r="G638" s="1"/>
      <c r="I638" s="1"/>
      <c r="J638" s="1"/>
      <c r="M638" s="1"/>
    </row>
    <row r="639" spans="1:13" x14ac:dyDescent="0.15">
      <c r="A639" s="1"/>
      <c r="D639" s="1"/>
      <c r="E639" s="1"/>
      <c r="G639" s="1"/>
      <c r="I639" s="1"/>
      <c r="J639" s="1"/>
      <c r="M639" s="1"/>
    </row>
    <row r="640" spans="1:13" x14ac:dyDescent="0.15">
      <c r="A640" s="1"/>
      <c r="D640" s="1"/>
      <c r="E640" s="1"/>
      <c r="G640" s="1"/>
      <c r="I640" s="1"/>
      <c r="J640" s="1"/>
      <c r="M640" s="1"/>
    </row>
    <row r="641" spans="1:13" x14ac:dyDescent="0.15">
      <c r="A641" s="1"/>
      <c r="D641" s="1"/>
      <c r="E641" s="1"/>
      <c r="G641" s="1"/>
      <c r="I641" s="1"/>
      <c r="J641" s="1"/>
      <c r="M641" s="1"/>
    </row>
    <row r="642" spans="1:13" x14ac:dyDescent="0.15">
      <c r="A642" s="1"/>
      <c r="D642" s="1"/>
      <c r="E642" s="1"/>
      <c r="G642" s="1"/>
      <c r="I642" s="1"/>
      <c r="J642" s="1"/>
      <c r="M642" s="1"/>
    </row>
    <row r="643" spans="1:13" x14ac:dyDescent="0.15">
      <c r="A643" s="1"/>
      <c r="D643" s="1"/>
      <c r="E643" s="1"/>
      <c r="G643" s="1"/>
      <c r="I643" s="1"/>
      <c r="J643" s="1"/>
      <c r="M643" s="1"/>
    </row>
    <row r="644" spans="1:13" x14ac:dyDescent="0.15">
      <c r="A644" s="1"/>
      <c r="D644" s="1"/>
      <c r="E644" s="1"/>
      <c r="G644" s="1"/>
      <c r="I644" s="1"/>
      <c r="J644" s="1"/>
      <c r="M644" s="1"/>
    </row>
    <row r="645" spans="1:13" x14ac:dyDescent="0.15">
      <c r="A645" s="1"/>
      <c r="D645" s="1"/>
      <c r="E645" s="1"/>
      <c r="G645" s="1"/>
      <c r="I645" s="1"/>
      <c r="J645" s="1"/>
      <c r="M645" s="1"/>
    </row>
    <row r="646" spans="1:13" x14ac:dyDescent="0.15">
      <c r="A646" s="1"/>
      <c r="D646" s="1"/>
      <c r="E646" s="1"/>
      <c r="G646" s="1"/>
      <c r="I646" s="1"/>
      <c r="J646" s="1"/>
      <c r="M646" s="1"/>
    </row>
    <row r="647" spans="1:13" x14ac:dyDescent="0.15">
      <c r="A647" s="1"/>
      <c r="D647" s="1"/>
      <c r="E647" s="1"/>
      <c r="G647" s="1"/>
      <c r="I647" s="1"/>
      <c r="J647" s="1"/>
      <c r="M647" s="1"/>
    </row>
    <row r="648" spans="1:13" x14ac:dyDescent="0.15">
      <c r="A648" s="1"/>
      <c r="D648" s="1"/>
      <c r="E648" s="1"/>
      <c r="G648" s="1"/>
      <c r="I648" s="1"/>
      <c r="J648" s="1"/>
      <c r="M648" s="1"/>
    </row>
    <row r="649" spans="1:13" x14ac:dyDescent="0.15">
      <c r="A649" s="1"/>
      <c r="D649" s="1"/>
      <c r="E649" s="1"/>
      <c r="G649" s="1"/>
      <c r="I649" s="1"/>
      <c r="J649" s="1"/>
      <c r="M649" s="1"/>
    </row>
    <row r="650" spans="1:13" x14ac:dyDescent="0.15">
      <c r="A650" s="1"/>
      <c r="D650" s="1"/>
      <c r="E650" s="1"/>
      <c r="G650" s="1"/>
      <c r="I650" s="1"/>
      <c r="J650" s="1"/>
      <c r="M650" s="1"/>
    </row>
    <row r="651" spans="1:13" x14ac:dyDescent="0.15">
      <c r="A651" s="1"/>
      <c r="D651" s="1"/>
      <c r="E651" s="1"/>
      <c r="G651" s="1"/>
      <c r="I651" s="1"/>
      <c r="J651" s="1"/>
      <c r="M651" s="1"/>
    </row>
    <row r="652" spans="1:13" x14ac:dyDescent="0.15">
      <c r="A652" s="1"/>
      <c r="D652" s="1"/>
      <c r="E652" s="1"/>
      <c r="G652" s="1"/>
      <c r="I652" s="1"/>
      <c r="J652" s="1"/>
      <c r="M652" s="1"/>
    </row>
    <row r="653" spans="1:13" x14ac:dyDescent="0.15">
      <c r="A653" s="1"/>
      <c r="D653" s="1"/>
      <c r="E653" s="1"/>
      <c r="G653" s="1"/>
      <c r="I653" s="1"/>
      <c r="J653" s="1"/>
      <c r="M653" s="1"/>
    </row>
    <row r="654" spans="1:13" x14ac:dyDescent="0.15">
      <c r="A654" s="1"/>
      <c r="D654" s="1"/>
      <c r="E654" s="1"/>
      <c r="G654" s="1"/>
      <c r="I654" s="1"/>
      <c r="J654" s="1"/>
      <c r="M654" s="1"/>
    </row>
    <row r="655" spans="1:13" x14ac:dyDescent="0.15">
      <c r="A655" s="1"/>
      <c r="D655" s="1"/>
      <c r="E655" s="1"/>
      <c r="G655" s="1"/>
      <c r="I655" s="1"/>
      <c r="J655" s="1"/>
      <c r="M655" s="1"/>
    </row>
    <row r="656" spans="1:13" x14ac:dyDescent="0.15">
      <c r="A656" s="1"/>
      <c r="D656" s="1"/>
      <c r="E656" s="1"/>
      <c r="G656" s="1"/>
      <c r="I656" s="1"/>
      <c r="J656" s="1"/>
      <c r="M656" s="1"/>
    </row>
    <row r="657" spans="1:13" x14ac:dyDescent="0.15">
      <c r="A657" s="1"/>
      <c r="D657" s="1"/>
      <c r="E657" s="1"/>
      <c r="G657" s="1"/>
      <c r="I657" s="1"/>
      <c r="J657" s="1"/>
      <c r="M657" s="1"/>
    </row>
    <row r="658" spans="1:13" x14ac:dyDescent="0.15">
      <c r="A658" s="1"/>
      <c r="D658" s="1"/>
      <c r="E658" s="1"/>
      <c r="G658" s="1"/>
      <c r="I658" s="1"/>
      <c r="J658" s="1"/>
      <c r="M658" s="1"/>
    </row>
    <row r="659" spans="1:13" x14ac:dyDescent="0.15">
      <c r="A659" s="1"/>
      <c r="D659" s="1"/>
      <c r="E659" s="1"/>
      <c r="G659" s="1"/>
      <c r="I659" s="1"/>
      <c r="J659" s="1"/>
      <c r="M659" s="1"/>
    </row>
    <row r="660" spans="1:13" x14ac:dyDescent="0.15">
      <c r="A660" s="1"/>
      <c r="D660" s="1"/>
      <c r="E660" s="1"/>
      <c r="G660" s="1"/>
      <c r="I660" s="1"/>
      <c r="J660" s="1"/>
      <c r="M660" s="1"/>
    </row>
    <row r="661" spans="1:13" x14ac:dyDescent="0.15">
      <c r="A661" s="1"/>
      <c r="D661" s="1"/>
      <c r="E661" s="1"/>
      <c r="G661" s="1"/>
      <c r="I661" s="1"/>
      <c r="J661" s="1"/>
      <c r="M661" s="1"/>
    </row>
    <row r="662" spans="1:13" x14ac:dyDescent="0.15">
      <c r="A662" s="1"/>
      <c r="D662" s="1"/>
      <c r="E662" s="1"/>
      <c r="G662" s="1"/>
      <c r="I662" s="1"/>
      <c r="J662" s="1"/>
      <c r="M662" s="1"/>
    </row>
    <row r="663" spans="1:13" x14ac:dyDescent="0.15">
      <c r="A663" s="1"/>
      <c r="D663" s="1"/>
      <c r="E663" s="1"/>
      <c r="G663" s="1"/>
      <c r="I663" s="1"/>
      <c r="J663" s="1"/>
      <c r="M663" s="1"/>
    </row>
    <row r="664" spans="1:13" x14ac:dyDescent="0.15">
      <c r="A664" s="1"/>
      <c r="D664" s="1"/>
      <c r="E664" s="1"/>
      <c r="G664" s="1"/>
      <c r="I664" s="1"/>
      <c r="J664" s="1"/>
      <c r="M664" s="1"/>
    </row>
    <row r="665" spans="1:13" x14ac:dyDescent="0.15">
      <c r="A665" s="1"/>
      <c r="D665" s="1"/>
      <c r="E665" s="1"/>
      <c r="G665" s="1"/>
      <c r="I665" s="1"/>
      <c r="J665" s="1"/>
      <c r="M665" s="1"/>
    </row>
    <row r="666" spans="1:13" x14ac:dyDescent="0.15">
      <c r="A666" s="1"/>
      <c r="D666" s="1"/>
      <c r="E666" s="1"/>
      <c r="G666" s="1"/>
      <c r="I666" s="1"/>
      <c r="J666" s="1"/>
      <c r="M666" s="1"/>
    </row>
    <row r="667" spans="1:13" x14ac:dyDescent="0.15">
      <c r="A667" s="1"/>
      <c r="D667" s="1"/>
      <c r="E667" s="1"/>
      <c r="G667" s="1"/>
      <c r="I667" s="1"/>
      <c r="J667" s="1"/>
      <c r="M667" s="1"/>
    </row>
    <row r="668" spans="1:13" x14ac:dyDescent="0.15">
      <c r="A668" s="1"/>
      <c r="D668" s="1"/>
      <c r="E668" s="1"/>
      <c r="G668" s="1"/>
      <c r="I668" s="1"/>
      <c r="J668" s="1"/>
      <c r="M668" s="1"/>
    </row>
    <row r="669" spans="1:13" x14ac:dyDescent="0.15">
      <c r="A669" s="1"/>
      <c r="D669" s="1"/>
      <c r="E669" s="1"/>
      <c r="G669" s="1"/>
      <c r="I669" s="1"/>
      <c r="J669" s="1"/>
      <c r="M669" s="1"/>
    </row>
    <row r="670" spans="1:13" x14ac:dyDescent="0.15">
      <c r="A670" s="1"/>
      <c r="D670" s="1"/>
      <c r="E670" s="1"/>
      <c r="G670" s="1"/>
      <c r="I670" s="1"/>
      <c r="J670" s="1"/>
      <c r="M670" s="1"/>
    </row>
    <row r="671" spans="1:13" x14ac:dyDescent="0.15">
      <c r="A671" s="1"/>
      <c r="D671" s="1"/>
      <c r="E671" s="1"/>
      <c r="G671" s="1"/>
      <c r="I671" s="1"/>
      <c r="J671" s="1"/>
      <c r="M671" s="1"/>
    </row>
    <row r="672" spans="1:13" x14ac:dyDescent="0.15">
      <c r="A672" s="1"/>
      <c r="D672" s="1"/>
      <c r="E672" s="1"/>
      <c r="G672" s="1"/>
      <c r="I672" s="1"/>
      <c r="J672" s="1"/>
      <c r="M672" s="1"/>
    </row>
    <row r="673" spans="1:13" x14ac:dyDescent="0.15">
      <c r="A673" s="1"/>
      <c r="D673" s="1"/>
      <c r="E673" s="1"/>
      <c r="G673" s="1"/>
      <c r="I673" s="1"/>
      <c r="J673" s="1"/>
      <c r="M673" s="1"/>
    </row>
    <row r="674" spans="1:13" x14ac:dyDescent="0.15">
      <c r="A674" s="1"/>
      <c r="D674" s="1"/>
      <c r="E674" s="1"/>
      <c r="G674" s="1"/>
      <c r="I674" s="1"/>
      <c r="J674" s="1"/>
      <c r="M674" s="1"/>
    </row>
    <row r="675" spans="1:13" x14ac:dyDescent="0.15">
      <c r="A675" s="1"/>
      <c r="D675" s="1"/>
      <c r="E675" s="1"/>
      <c r="G675" s="1"/>
      <c r="I675" s="1"/>
      <c r="J675" s="1"/>
      <c r="M675" s="1"/>
    </row>
    <row r="676" spans="1:13" x14ac:dyDescent="0.15">
      <c r="A676" s="1"/>
      <c r="D676" s="1"/>
      <c r="E676" s="1"/>
      <c r="G676" s="1"/>
      <c r="I676" s="1"/>
      <c r="J676" s="1"/>
      <c r="M676" s="1"/>
    </row>
    <row r="677" spans="1:13" x14ac:dyDescent="0.15">
      <c r="A677" s="1"/>
      <c r="D677" s="1"/>
      <c r="E677" s="1"/>
      <c r="G677" s="1"/>
      <c r="I677" s="1"/>
      <c r="J677" s="1"/>
      <c r="M677" s="1"/>
    </row>
    <row r="678" spans="1:13" x14ac:dyDescent="0.15">
      <c r="A678" s="1"/>
      <c r="D678" s="1"/>
      <c r="E678" s="1"/>
      <c r="G678" s="1"/>
      <c r="I678" s="1"/>
      <c r="J678" s="1"/>
      <c r="M678" s="1"/>
    </row>
    <row r="679" spans="1:13" x14ac:dyDescent="0.15">
      <c r="A679" s="1"/>
      <c r="D679" s="1"/>
      <c r="E679" s="1"/>
      <c r="G679" s="1"/>
      <c r="I679" s="1"/>
      <c r="J679" s="1"/>
      <c r="M679" s="1"/>
    </row>
    <row r="680" spans="1:13" x14ac:dyDescent="0.15">
      <c r="A680" s="1"/>
      <c r="D680" s="1"/>
      <c r="E680" s="1"/>
      <c r="G680" s="1"/>
      <c r="I680" s="1"/>
      <c r="J680" s="1"/>
      <c r="M680" s="1"/>
    </row>
    <row r="681" spans="1:13" x14ac:dyDescent="0.15">
      <c r="A681" s="1"/>
      <c r="D681" s="1"/>
      <c r="E681" s="1"/>
      <c r="G681" s="1"/>
      <c r="I681" s="1"/>
      <c r="J681" s="1"/>
      <c r="M681" s="1"/>
    </row>
    <row r="682" spans="1:13" x14ac:dyDescent="0.15">
      <c r="A682" s="1"/>
      <c r="D682" s="1"/>
      <c r="E682" s="1"/>
      <c r="G682" s="1"/>
      <c r="I682" s="1"/>
      <c r="J682" s="1"/>
      <c r="M682" s="1"/>
    </row>
    <row r="683" spans="1:13" x14ac:dyDescent="0.15">
      <c r="A683" s="1"/>
      <c r="D683" s="1"/>
      <c r="E683" s="1"/>
      <c r="G683" s="1"/>
      <c r="I683" s="1"/>
      <c r="J683" s="1"/>
      <c r="M683" s="1"/>
    </row>
    <row r="684" spans="1:13" x14ac:dyDescent="0.15">
      <c r="A684" s="1"/>
      <c r="D684" s="1"/>
      <c r="E684" s="1"/>
      <c r="G684" s="1"/>
      <c r="I684" s="1"/>
      <c r="J684" s="1"/>
      <c r="M684" s="1"/>
    </row>
    <row r="685" spans="1:13" x14ac:dyDescent="0.15">
      <c r="A685" s="1"/>
      <c r="D685" s="1"/>
      <c r="E685" s="1"/>
      <c r="G685" s="1"/>
      <c r="I685" s="1"/>
      <c r="J685" s="1"/>
      <c r="M685" s="1"/>
    </row>
    <row r="686" spans="1:13" x14ac:dyDescent="0.15">
      <c r="A686" s="1"/>
      <c r="D686" s="1"/>
      <c r="E686" s="1"/>
      <c r="G686" s="1"/>
      <c r="I686" s="1"/>
      <c r="J686" s="1"/>
      <c r="M686" s="1"/>
    </row>
    <row r="687" spans="1:13" x14ac:dyDescent="0.15">
      <c r="A687" s="1"/>
      <c r="D687" s="1"/>
      <c r="E687" s="1"/>
      <c r="G687" s="1"/>
      <c r="I687" s="1"/>
      <c r="J687" s="1"/>
      <c r="M687" s="1"/>
    </row>
    <row r="688" spans="1:13" x14ac:dyDescent="0.15">
      <c r="A688" s="1"/>
      <c r="D688" s="1"/>
      <c r="E688" s="1"/>
      <c r="G688" s="1"/>
      <c r="I688" s="1"/>
      <c r="J688" s="1"/>
      <c r="M688" s="1"/>
    </row>
    <row r="689" spans="1:13" x14ac:dyDescent="0.15">
      <c r="A689" s="1"/>
      <c r="D689" s="1"/>
      <c r="E689" s="1"/>
      <c r="G689" s="1"/>
      <c r="I689" s="1"/>
      <c r="J689" s="1"/>
      <c r="M689" s="1"/>
    </row>
    <row r="690" spans="1:13" x14ac:dyDescent="0.15">
      <c r="A690" s="1"/>
      <c r="D690" s="1"/>
      <c r="E690" s="1"/>
      <c r="G690" s="1"/>
      <c r="I690" s="1"/>
      <c r="J690" s="1"/>
      <c r="M690" s="1"/>
    </row>
    <row r="691" spans="1:13" x14ac:dyDescent="0.15">
      <c r="A691" s="1"/>
      <c r="D691" s="1"/>
      <c r="E691" s="1"/>
      <c r="G691" s="1"/>
      <c r="I691" s="1"/>
      <c r="J691" s="1"/>
      <c r="M691" s="1"/>
    </row>
    <row r="692" spans="1:13" x14ac:dyDescent="0.15">
      <c r="A692" s="1"/>
      <c r="D692" s="1"/>
      <c r="E692" s="1"/>
      <c r="G692" s="1"/>
      <c r="I692" s="1"/>
      <c r="J692" s="1"/>
      <c r="M692" s="1"/>
    </row>
    <row r="693" spans="1:13" x14ac:dyDescent="0.15">
      <c r="A693" s="1"/>
      <c r="D693" s="1"/>
      <c r="E693" s="1"/>
      <c r="G693" s="1"/>
      <c r="I693" s="1"/>
      <c r="J693" s="1"/>
      <c r="M693" s="1"/>
    </row>
    <row r="694" spans="1:13" x14ac:dyDescent="0.15">
      <c r="A694" s="1"/>
      <c r="D694" s="1"/>
      <c r="E694" s="1"/>
      <c r="G694" s="1"/>
      <c r="I694" s="1"/>
      <c r="J694" s="1"/>
      <c r="M694" s="1"/>
    </row>
    <row r="695" spans="1:13" x14ac:dyDescent="0.15">
      <c r="A695" s="1"/>
      <c r="D695" s="1"/>
      <c r="E695" s="1"/>
      <c r="G695" s="1"/>
      <c r="I695" s="1"/>
      <c r="J695" s="1"/>
      <c r="M695" s="1"/>
    </row>
    <row r="696" spans="1:13" x14ac:dyDescent="0.15">
      <c r="A696" s="1"/>
      <c r="D696" s="1"/>
      <c r="E696" s="1"/>
      <c r="G696" s="1"/>
      <c r="I696" s="1"/>
      <c r="J696" s="1"/>
      <c r="M696" s="1"/>
    </row>
    <row r="697" spans="1:13" x14ac:dyDescent="0.15">
      <c r="A697" s="1"/>
      <c r="D697" s="1"/>
      <c r="E697" s="1"/>
      <c r="G697" s="1"/>
      <c r="I697" s="1"/>
      <c r="J697" s="1"/>
      <c r="M697" s="1"/>
    </row>
    <row r="698" spans="1:13" x14ac:dyDescent="0.15">
      <c r="A698" s="1"/>
      <c r="D698" s="1"/>
      <c r="E698" s="1"/>
      <c r="G698" s="1"/>
      <c r="I698" s="1"/>
      <c r="J698" s="1"/>
      <c r="M698" s="1"/>
    </row>
    <row r="699" spans="1:13" x14ac:dyDescent="0.15">
      <c r="A699" s="1"/>
      <c r="D699" s="1"/>
      <c r="E699" s="1"/>
      <c r="G699" s="1"/>
      <c r="I699" s="1"/>
      <c r="J699" s="1"/>
      <c r="M699" s="1"/>
    </row>
    <row r="700" spans="1:13" x14ac:dyDescent="0.15">
      <c r="A700" s="1"/>
      <c r="D700" s="1"/>
      <c r="E700" s="1"/>
      <c r="G700" s="1"/>
      <c r="I700" s="1"/>
      <c r="J700" s="1"/>
      <c r="M700" s="1"/>
    </row>
    <row r="701" spans="1:13" x14ac:dyDescent="0.15">
      <c r="A701" s="1"/>
      <c r="D701" s="1"/>
      <c r="E701" s="1"/>
      <c r="G701" s="1"/>
      <c r="I701" s="1"/>
      <c r="J701" s="1"/>
      <c r="M701" s="1"/>
    </row>
    <row r="702" spans="1:13" x14ac:dyDescent="0.15">
      <c r="A702" s="1"/>
      <c r="D702" s="1"/>
      <c r="E702" s="1"/>
      <c r="G702" s="1"/>
      <c r="I702" s="1"/>
      <c r="J702" s="1"/>
      <c r="M702" s="1"/>
    </row>
    <row r="703" spans="1:13" x14ac:dyDescent="0.15">
      <c r="A703" s="1"/>
      <c r="D703" s="1"/>
      <c r="E703" s="1"/>
      <c r="G703" s="1"/>
      <c r="I703" s="1"/>
      <c r="J703" s="1"/>
      <c r="M703" s="1"/>
    </row>
    <row r="704" spans="1:13" x14ac:dyDescent="0.15">
      <c r="A704" s="1"/>
      <c r="D704" s="1"/>
      <c r="E704" s="1"/>
      <c r="G704" s="1"/>
      <c r="I704" s="1"/>
      <c r="J704" s="1"/>
      <c r="M704" s="1"/>
    </row>
    <row r="705" spans="1:13" x14ac:dyDescent="0.15">
      <c r="A705" s="1"/>
      <c r="D705" s="1"/>
      <c r="E705" s="1"/>
      <c r="G705" s="1"/>
      <c r="I705" s="1"/>
      <c r="J705" s="1"/>
      <c r="M705" s="1"/>
    </row>
    <row r="706" spans="1:13" x14ac:dyDescent="0.15">
      <c r="A706" s="1"/>
      <c r="D706" s="1"/>
      <c r="E706" s="1"/>
      <c r="G706" s="1"/>
      <c r="I706" s="1"/>
      <c r="J706" s="1"/>
      <c r="M706" s="1"/>
    </row>
    <row r="707" spans="1:13" x14ac:dyDescent="0.15">
      <c r="A707" s="1"/>
      <c r="D707" s="1"/>
      <c r="E707" s="1"/>
      <c r="G707" s="1"/>
      <c r="I707" s="1"/>
      <c r="J707" s="1"/>
      <c r="M707" s="1"/>
    </row>
    <row r="708" spans="1:13" x14ac:dyDescent="0.15">
      <c r="A708" s="1"/>
      <c r="D708" s="1"/>
      <c r="E708" s="1"/>
      <c r="G708" s="1"/>
      <c r="I708" s="1"/>
      <c r="J708" s="1"/>
      <c r="M708" s="1"/>
    </row>
    <row r="709" spans="1:13" x14ac:dyDescent="0.15">
      <c r="A709" s="1"/>
      <c r="D709" s="1"/>
      <c r="E709" s="1"/>
      <c r="G709" s="1"/>
      <c r="I709" s="1"/>
      <c r="J709" s="1"/>
      <c r="M709" s="1"/>
    </row>
    <row r="710" spans="1:13" x14ac:dyDescent="0.15">
      <c r="A710" s="1"/>
      <c r="D710" s="1"/>
      <c r="E710" s="1"/>
      <c r="G710" s="1"/>
      <c r="I710" s="1"/>
      <c r="J710" s="1"/>
      <c r="M710" s="1"/>
    </row>
    <row r="711" spans="1:13" x14ac:dyDescent="0.15">
      <c r="A711" s="1"/>
      <c r="D711" s="1"/>
      <c r="E711" s="1"/>
      <c r="G711" s="1"/>
      <c r="I711" s="1"/>
      <c r="J711" s="1"/>
      <c r="M711" s="1"/>
    </row>
    <row r="712" spans="1:13" x14ac:dyDescent="0.15">
      <c r="A712" s="1"/>
      <c r="D712" s="1"/>
      <c r="E712" s="1"/>
      <c r="G712" s="1"/>
      <c r="I712" s="1"/>
      <c r="J712" s="1"/>
      <c r="M712" s="1"/>
    </row>
    <row r="713" spans="1:13" x14ac:dyDescent="0.15">
      <c r="A713" s="1"/>
      <c r="D713" s="1"/>
      <c r="E713" s="1"/>
      <c r="G713" s="1"/>
      <c r="I713" s="1"/>
      <c r="J713" s="1"/>
      <c r="M713" s="1"/>
    </row>
    <row r="714" spans="1:13" x14ac:dyDescent="0.15">
      <c r="A714" s="1"/>
      <c r="D714" s="1"/>
      <c r="E714" s="1"/>
      <c r="G714" s="1"/>
      <c r="I714" s="1"/>
      <c r="J714" s="1"/>
      <c r="M714" s="1"/>
    </row>
    <row r="715" spans="1:13" x14ac:dyDescent="0.15">
      <c r="A715" s="1"/>
      <c r="D715" s="1"/>
      <c r="E715" s="1"/>
      <c r="G715" s="1"/>
      <c r="I715" s="1"/>
      <c r="J715" s="1"/>
      <c r="M715" s="1"/>
    </row>
    <row r="716" spans="1:13" x14ac:dyDescent="0.15">
      <c r="A716" s="1"/>
      <c r="D716" s="1"/>
      <c r="E716" s="1"/>
      <c r="G716" s="1"/>
      <c r="I716" s="1"/>
      <c r="J716" s="1"/>
      <c r="M716" s="1"/>
    </row>
    <row r="717" spans="1:13" x14ac:dyDescent="0.15">
      <c r="A717" s="1"/>
      <c r="D717" s="1"/>
      <c r="E717" s="1"/>
      <c r="G717" s="1"/>
      <c r="I717" s="1"/>
      <c r="J717" s="1"/>
      <c r="M717" s="1"/>
    </row>
    <row r="718" spans="1:13" x14ac:dyDescent="0.15">
      <c r="A718" s="1"/>
      <c r="D718" s="1"/>
      <c r="E718" s="1"/>
      <c r="G718" s="1"/>
      <c r="I718" s="1"/>
      <c r="J718" s="1"/>
      <c r="M718" s="1"/>
    </row>
    <row r="719" spans="1:13" x14ac:dyDescent="0.15">
      <c r="A719" s="1"/>
      <c r="D719" s="1"/>
      <c r="E719" s="1"/>
      <c r="G719" s="1"/>
      <c r="I719" s="1"/>
      <c r="J719" s="1"/>
      <c r="M719" s="1"/>
    </row>
    <row r="720" spans="1:13" x14ac:dyDescent="0.15">
      <c r="A720" s="1"/>
      <c r="D720" s="1"/>
      <c r="E720" s="1"/>
      <c r="G720" s="1"/>
      <c r="I720" s="1"/>
      <c r="J720" s="1"/>
      <c r="M720" s="1"/>
    </row>
    <row r="721" spans="1:13" x14ac:dyDescent="0.15">
      <c r="A721" s="1"/>
      <c r="D721" s="1"/>
      <c r="E721" s="1"/>
      <c r="G721" s="1"/>
      <c r="I721" s="1"/>
      <c r="J721" s="1"/>
      <c r="M721" s="1"/>
    </row>
    <row r="722" spans="1:13" x14ac:dyDescent="0.15">
      <c r="A722" s="1"/>
      <c r="D722" s="1"/>
      <c r="E722" s="1"/>
      <c r="G722" s="1"/>
      <c r="I722" s="1"/>
      <c r="J722" s="1"/>
      <c r="M722" s="1"/>
    </row>
    <row r="723" spans="1:13" x14ac:dyDescent="0.15">
      <c r="A723" s="1"/>
      <c r="D723" s="1"/>
      <c r="E723" s="1"/>
      <c r="G723" s="1"/>
      <c r="I723" s="1"/>
      <c r="J723" s="1"/>
      <c r="M723" s="1"/>
    </row>
    <row r="724" spans="1:13" x14ac:dyDescent="0.15">
      <c r="A724" s="1"/>
      <c r="D724" s="1"/>
      <c r="E724" s="1"/>
      <c r="G724" s="1"/>
      <c r="I724" s="1"/>
      <c r="J724" s="1"/>
      <c r="M724" s="1"/>
    </row>
    <row r="725" spans="1:13" x14ac:dyDescent="0.15">
      <c r="A725" s="1"/>
      <c r="D725" s="1"/>
      <c r="E725" s="1"/>
      <c r="G725" s="1"/>
      <c r="I725" s="1"/>
      <c r="J725" s="1"/>
      <c r="M725" s="1"/>
    </row>
    <row r="726" spans="1:13" x14ac:dyDescent="0.15">
      <c r="A726" s="1"/>
      <c r="D726" s="1"/>
      <c r="E726" s="1"/>
      <c r="G726" s="1"/>
      <c r="I726" s="1"/>
      <c r="J726" s="1"/>
      <c r="M726" s="1"/>
    </row>
    <row r="727" spans="1:13" x14ac:dyDescent="0.15">
      <c r="A727" s="1"/>
      <c r="D727" s="1"/>
      <c r="E727" s="1"/>
      <c r="G727" s="1"/>
      <c r="I727" s="1"/>
      <c r="J727" s="1"/>
      <c r="M727" s="1"/>
    </row>
    <row r="728" spans="1:13" x14ac:dyDescent="0.15">
      <c r="A728" s="1"/>
      <c r="D728" s="1"/>
      <c r="E728" s="1"/>
      <c r="G728" s="1"/>
      <c r="I728" s="1"/>
      <c r="J728" s="1"/>
      <c r="M728" s="1"/>
    </row>
    <row r="729" spans="1:13" x14ac:dyDescent="0.15">
      <c r="A729" s="1"/>
      <c r="D729" s="1"/>
      <c r="E729" s="1"/>
      <c r="G729" s="1"/>
      <c r="I729" s="1"/>
      <c r="J729" s="1"/>
      <c r="M729" s="1"/>
    </row>
    <row r="730" spans="1:13" x14ac:dyDescent="0.15">
      <c r="A730" s="1"/>
      <c r="D730" s="1"/>
      <c r="E730" s="1"/>
      <c r="G730" s="1"/>
      <c r="I730" s="1"/>
      <c r="J730" s="1"/>
      <c r="M730" s="1"/>
    </row>
    <row r="731" spans="1:13" x14ac:dyDescent="0.15">
      <c r="A731" s="1"/>
      <c r="D731" s="1"/>
      <c r="E731" s="1"/>
      <c r="G731" s="1"/>
      <c r="I731" s="1"/>
      <c r="J731" s="1"/>
      <c r="M731" s="1"/>
    </row>
    <row r="732" spans="1:13" x14ac:dyDescent="0.15">
      <c r="A732" s="1"/>
      <c r="D732" s="1"/>
      <c r="E732" s="1"/>
      <c r="G732" s="1"/>
      <c r="I732" s="1"/>
      <c r="J732" s="1"/>
      <c r="M732" s="1"/>
    </row>
    <row r="733" spans="1:13" x14ac:dyDescent="0.15">
      <c r="A733" s="1"/>
      <c r="D733" s="1"/>
      <c r="E733" s="1"/>
      <c r="G733" s="1"/>
      <c r="I733" s="1"/>
      <c r="J733" s="1"/>
      <c r="M733" s="1"/>
    </row>
    <row r="734" spans="1:13" x14ac:dyDescent="0.15">
      <c r="A734" s="1"/>
      <c r="D734" s="1"/>
      <c r="E734" s="1"/>
      <c r="G734" s="1"/>
      <c r="I734" s="1"/>
      <c r="J734" s="1"/>
      <c r="M734" s="1"/>
    </row>
    <row r="735" spans="1:13" x14ac:dyDescent="0.15">
      <c r="A735" s="1"/>
      <c r="D735" s="1"/>
      <c r="E735" s="1"/>
      <c r="G735" s="1"/>
      <c r="I735" s="1"/>
      <c r="J735" s="1"/>
      <c r="M735" s="1"/>
    </row>
    <row r="736" spans="1:13" x14ac:dyDescent="0.15">
      <c r="A736" s="1"/>
      <c r="D736" s="1"/>
      <c r="E736" s="1"/>
      <c r="G736" s="1"/>
      <c r="I736" s="1"/>
      <c r="J736" s="1"/>
      <c r="M736" s="1"/>
    </row>
    <row r="737" spans="1:13" x14ac:dyDescent="0.15">
      <c r="A737" s="1"/>
      <c r="D737" s="1"/>
      <c r="E737" s="1"/>
      <c r="G737" s="1"/>
      <c r="I737" s="1"/>
      <c r="J737" s="1"/>
      <c r="M737" s="1"/>
    </row>
    <row r="738" spans="1:13" x14ac:dyDescent="0.15">
      <c r="A738" s="1"/>
      <c r="D738" s="1"/>
      <c r="E738" s="1"/>
      <c r="G738" s="1"/>
      <c r="I738" s="1"/>
      <c r="J738" s="1"/>
      <c r="M738" s="1"/>
    </row>
    <row r="739" spans="1:13" x14ac:dyDescent="0.15">
      <c r="A739" s="1"/>
      <c r="D739" s="1"/>
      <c r="E739" s="1"/>
      <c r="G739" s="1"/>
      <c r="I739" s="1"/>
      <c r="J739" s="1"/>
      <c r="M739" s="1"/>
    </row>
    <row r="740" spans="1:13" x14ac:dyDescent="0.15">
      <c r="A740" s="1"/>
      <c r="D740" s="1"/>
      <c r="E740" s="1"/>
      <c r="G740" s="1"/>
      <c r="I740" s="1"/>
      <c r="J740" s="1"/>
      <c r="M740" s="1"/>
    </row>
    <row r="741" spans="1:13" x14ac:dyDescent="0.15">
      <c r="A741" s="1"/>
      <c r="D741" s="1"/>
      <c r="E741" s="1"/>
      <c r="G741" s="1"/>
      <c r="I741" s="1"/>
      <c r="J741" s="1"/>
      <c r="M741" s="1"/>
    </row>
    <row r="742" spans="1:13" x14ac:dyDescent="0.15">
      <c r="A742" s="1"/>
      <c r="D742" s="1"/>
      <c r="E742" s="1"/>
      <c r="G742" s="1"/>
      <c r="I742" s="1"/>
      <c r="J742" s="1"/>
      <c r="M742" s="1"/>
    </row>
    <row r="743" spans="1:13" x14ac:dyDescent="0.15">
      <c r="A743" s="1"/>
      <c r="D743" s="1"/>
      <c r="E743" s="1"/>
      <c r="G743" s="1"/>
      <c r="I743" s="1"/>
      <c r="J743" s="1"/>
      <c r="M743" s="1"/>
    </row>
    <row r="744" spans="1:13" x14ac:dyDescent="0.15">
      <c r="A744" s="1"/>
      <c r="D744" s="1"/>
      <c r="E744" s="1"/>
      <c r="G744" s="1"/>
      <c r="I744" s="1"/>
      <c r="J744" s="1"/>
      <c r="M744" s="1"/>
    </row>
    <row r="745" spans="1:13" x14ac:dyDescent="0.15">
      <c r="A745" s="1"/>
      <c r="D745" s="1"/>
      <c r="E745" s="1"/>
      <c r="G745" s="1"/>
      <c r="I745" s="1"/>
      <c r="J745" s="1"/>
      <c r="M745" s="1"/>
    </row>
    <row r="746" spans="1:13" x14ac:dyDescent="0.15">
      <c r="A746" s="1"/>
      <c r="D746" s="1"/>
      <c r="E746" s="1"/>
      <c r="G746" s="1"/>
      <c r="I746" s="1"/>
      <c r="J746" s="1"/>
      <c r="M746" s="1"/>
    </row>
    <row r="747" spans="1:13" x14ac:dyDescent="0.15">
      <c r="A747" s="1"/>
      <c r="D747" s="1"/>
      <c r="E747" s="1"/>
      <c r="G747" s="1"/>
      <c r="I747" s="1"/>
      <c r="J747" s="1"/>
      <c r="M747" s="1"/>
    </row>
    <row r="748" spans="1:13" x14ac:dyDescent="0.15">
      <c r="A748" s="1"/>
      <c r="D748" s="1"/>
      <c r="E748" s="1"/>
      <c r="G748" s="1"/>
      <c r="I748" s="1"/>
      <c r="J748" s="1"/>
      <c r="M748" s="1"/>
    </row>
    <row r="749" spans="1:13" x14ac:dyDescent="0.15">
      <c r="A749" s="1"/>
      <c r="D749" s="1"/>
      <c r="E749" s="1"/>
      <c r="G749" s="1"/>
      <c r="I749" s="1"/>
      <c r="J749" s="1"/>
      <c r="M749" s="1"/>
    </row>
    <row r="750" spans="1:13" x14ac:dyDescent="0.15">
      <c r="A750" s="1"/>
      <c r="D750" s="1"/>
      <c r="E750" s="1"/>
      <c r="G750" s="1"/>
      <c r="I750" s="1"/>
      <c r="J750" s="1"/>
      <c r="M750" s="1"/>
    </row>
    <row r="751" spans="1:13" x14ac:dyDescent="0.15">
      <c r="A751" s="1"/>
      <c r="D751" s="1"/>
      <c r="E751" s="1"/>
      <c r="G751" s="1"/>
      <c r="I751" s="1"/>
      <c r="J751" s="1"/>
      <c r="M751" s="1"/>
    </row>
    <row r="752" spans="1:13" x14ac:dyDescent="0.15">
      <c r="A752" s="1"/>
      <c r="D752" s="1"/>
      <c r="E752" s="1"/>
      <c r="G752" s="1"/>
      <c r="I752" s="1"/>
      <c r="J752" s="1"/>
      <c r="M752" s="1"/>
    </row>
    <row r="753" spans="1:13" x14ac:dyDescent="0.15">
      <c r="A753" s="1"/>
      <c r="D753" s="1"/>
      <c r="E753" s="1"/>
      <c r="G753" s="1"/>
      <c r="I753" s="1"/>
      <c r="J753" s="1"/>
      <c r="M753" s="1"/>
    </row>
    <row r="754" spans="1:13" x14ac:dyDescent="0.15">
      <c r="A754" s="1"/>
      <c r="D754" s="1"/>
      <c r="E754" s="1"/>
      <c r="G754" s="1"/>
      <c r="I754" s="1"/>
      <c r="J754" s="1"/>
      <c r="M754" s="1"/>
    </row>
    <row r="755" spans="1:13" x14ac:dyDescent="0.15">
      <c r="A755" s="1"/>
      <c r="D755" s="1"/>
      <c r="E755" s="1"/>
      <c r="G755" s="1"/>
      <c r="I755" s="1"/>
      <c r="J755" s="1"/>
      <c r="M755" s="1"/>
    </row>
    <row r="756" spans="1:13" x14ac:dyDescent="0.15">
      <c r="A756" s="1"/>
      <c r="D756" s="1"/>
      <c r="E756" s="1"/>
      <c r="G756" s="1"/>
      <c r="I756" s="1"/>
      <c r="J756" s="1"/>
      <c r="M756" s="1"/>
    </row>
    <row r="757" spans="1:13" x14ac:dyDescent="0.15">
      <c r="A757" s="1"/>
      <c r="D757" s="1"/>
      <c r="E757" s="1"/>
      <c r="G757" s="1"/>
      <c r="I757" s="1"/>
      <c r="J757" s="1"/>
      <c r="M757" s="1"/>
    </row>
    <row r="758" spans="1:13" x14ac:dyDescent="0.15">
      <c r="A758" s="1"/>
      <c r="D758" s="1"/>
      <c r="E758" s="1"/>
      <c r="G758" s="1"/>
      <c r="I758" s="1"/>
      <c r="J758" s="1"/>
      <c r="M758" s="1"/>
    </row>
    <row r="759" spans="1:13" x14ac:dyDescent="0.15">
      <c r="A759" s="1"/>
      <c r="D759" s="1"/>
      <c r="E759" s="1"/>
      <c r="G759" s="1"/>
      <c r="I759" s="1"/>
      <c r="J759" s="1"/>
      <c r="M759" s="1"/>
    </row>
    <row r="760" spans="1:13" x14ac:dyDescent="0.15">
      <c r="A760" s="1"/>
      <c r="D760" s="1"/>
      <c r="E760" s="1"/>
      <c r="G760" s="1"/>
      <c r="I760" s="1"/>
      <c r="J760" s="1"/>
      <c r="M760" s="1"/>
    </row>
    <row r="761" spans="1:13" x14ac:dyDescent="0.15">
      <c r="A761" s="1"/>
      <c r="D761" s="1"/>
      <c r="E761" s="1"/>
      <c r="G761" s="1"/>
      <c r="I761" s="1"/>
      <c r="J761" s="1"/>
      <c r="M761" s="1"/>
    </row>
    <row r="762" spans="1:13" x14ac:dyDescent="0.15">
      <c r="A762" s="1"/>
      <c r="D762" s="1"/>
      <c r="E762" s="1"/>
      <c r="G762" s="1"/>
      <c r="I762" s="1"/>
      <c r="J762" s="1"/>
      <c r="M762" s="1"/>
    </row>
    <row r="763" spans="1:13" x14ac:dyDescent="0.15">
      <c r="A763" s="1"/>
      <c r="D763" s="1"/>
      <c r="E763" s="1"/>
      <c r="G763" s="1"/>
      <c r="I763" s="1"/>
      <c r="J763" s="1"/>
      <c r="M763" s="1"/>
    </row>
    <row r="764" spans="1:13" x14ac:dyDescent="0.15">
      <c r="A764" s="1"/>
      <c r="D764" s="1"/>
      <c r="E764" s="1"/>
      <c r="G764" s="1"/>
      <c r="I764" s="1"/>
      <c r="J764" s="1"/>
      <c r="M764" s="1"/>
    </row>
    <row r="765" spans="1:13" x14ac:dyDescent="0.15">
      <c r="A765" s="1"/>
      <c r="D765" s="1"/>
      <c r="E765" s="1"/>
      <c r="G765" s="1"/>
      <c r="I765" s="1"/>
      <c r="J765" s="1"/>
      <c r="M765" s="1"/>
    </row>
    <row r="766" spans="1:13" x14ac:dyDescent="0.15">
      <c r="A766" s="1"/>
      <c r="D766" s="1"/>
      <c r="E766" s="1"/>
      <c r="G766" s="1"/>
      <c r="I766" s="1"/>
      <c r="J766" s="1"/>
      <c r="M766" s="1"/>
    </row>
    <row r="767" spans="1:13" x14ac:dyDescent="0.15">
      <c r="A767" s="1"/>
      <c r="D767" s="1"/>
      <c r="E767" s="1"/>
      <c r="G767" s="1"/>
      <c r="I767" s="1"/>
      <c r="J767" s="1"/>
      <c r="M767" s="1"/>
    </row>
    <row r="768" spans="1:13" x14ac:dyDescent="0.15">
      <c r="A768" s="1"/>
      <c r="D768" s="1"/>
      <c r="E768" s="1"/>
      <c r="G768" s="1"/>
      <c r="I768" s="1"/>
      <c r="J768" s="1"/>
      <c r="M768" s="1"/>
    </row>
    <row r="769" spans="1:13" x14ac:dyDescent="0.15">
      <c r="A769" s="1"/>
      <c r="D769" s="1"/>
      <c r="E769" s="1"/>
      <c r="G769" s="1"/>
      <c r="I769" s="1"/>
      <c r="J769" s="1"/>
      <c r="M769" s="1"/>
    </row>
    <row r="770" spans="1:13" x14ac:dyDescent="0.15">
      <c r="A770" s="1"/>
      <c r="D770" s="1"/>
      <c r="E770" s="1"/>
      <c r="G770" s="1"/>
      <c r="I770" s="1"/>
      <c r="J770" s="1"/>
      <c r="M770" s="1"/>
    </row>
    <row r="771" spans="1:13" x14ac:dyDescent="0.15">
      <c r="A771" s="1"/>
      <c r="D771" s="1"/>
      <c r="E771" s="1"/>
      <c r="G771" s="1"/>
      <c r="I771" s="1"/>
      <c r="J771" s="1"/>
      <c r="M771" s="1"/>
    </row>
    <row r="772" spans="1:13" x14ac:dyDescent="0.15">
      <c r="A772" s="1"/>
      <c r="D772" s="1"/>
      <c r="E772" s="1"/>
      <c r="G772" s="1"/>
      <c r="I772" s="1"/>
      <c r="J772" s="1"/>
      <c r="M772" s="1"/>
    </row>
    <row r="773" spans="1:13" x14ac:dyDescent="0.15">
      <c r="A773" s="1"/>
      <c r="D773" s="1"/>
      <c r="E773" s="1"/>
      <c r="G773" s="1"/>
      <c r="I773" s="1"/>
      <c r="J773" s="1"/>
      <c r="M773" s="1"/>
    </row>
    <row r="774" spans="1:13" x14ac:dyDescent="0.15">
      <c r="A774" s="1"/>
      <c r="D774" s="1"/>
      <c r="E774" s="1"/>
      <c r="G774" s="1"/>
      <c r="I774" s="1"/>
      <c r="J774" s="1"/>
      <c r="M774" s="1"/>
    </row>
    <row r="775" spans="1:13" x14ac:dyDescent="0.15">
      <c r="A775" s="1"/>
      <c r="D775" s="1"/>
      <c r="E775" s="1"/>
      <c r="G775" s="1"/>
      <c r="I775" s="1"/>
      <c r="J775" s="1"/>
      <c r="M775" s="1"/>
    </row>
    <row r="776" spans="1:13" x14ac:dyDescent="0.15">
      <c r="A776" s="1"/>
      <c r="D776" s="1"/>
      <c r="E776" s="1"/>
      <c r="G776" s="1"/>
      <c r="I776" s="1"/>
      <c r="J776" s="1"/>
      <c r="M776" s="1"/>
    </row>
    <row r="777" spans="1:13" x14ac:dyDescent="0.15">
      <c r="A777" s="1"/>
      <c r="D777" s="1"/>
      <c r="E777" s="1"/>
      <c r="G777" s="1"/>
      <c r="I777" s="1"/>
      <c r="J777" s="1"/>
      <c r="M777" s="1"/>
    </row>
    <row r="778" spans="1:13" x14ac:dyDescent="0.15">
      <c r="A778" s="1"/>
      <c r="D778" s="1"/>
      <c r="E778" s="1"/>
      <c r="G778" s="1"/>
      <c r="I778" s="1"/>
      <c r="J778" s="1"/>
      <c r="M778" s="1"/>
    </row>
    <row r="779" spans="1:13" x14ac:dyDescent="0.15">
      <c r="A779" s="1"/>
      <c r="D779" s="1"/>
      <c r="E779" s="1"/>
      <c r="G779" s="1"/>
      <c r="I779" s="1"/>
      <c r="J779" s="1"/>
      <c r="M779" s="1"/>
    </row>
    <row r="780" spans="1:13" x14ac:dyDescent="0.15">
      <c r="A780" s="1"/>
      <c r="D780" s="1"/>
      <c r="E780" s="1"/>
      <c r="G780" s="1"/>
      <c r="I780" s="1"/>
      <c r="J780" s="1"/>
      <c r="M780" s="1"/>
    </row>
    <row r="781" spans="1:13" x14ac:dyDescent="0.15">
      <c r="A781" s="1"/>
      <c r="D781" s="1"/>
      <c r="E781" s="1"/>
      <c r="G781" s="1"/>
      <c r="I781" s="1"/>
      <c r="J781" s="1"/>
      <c r="M781" s="1"/>
    </row>
    <row r="782" spans="1:13" x14ac:dyDescent="0.15">
      <c r="A782" s="1"/>
      <c r="D782" s="1"/>
      <c r="E782" s="1"/>
      <c r="G782" s="1"/>
      <c r="I782" s="1"/>
      <c r="J782" s="1"/>
      <c r="M782" s="1"/>
    </row>
    <row r="783" spans="1:13" x14ac:dyDescent="0.15">
      <c r="A783" s="1"/>
      <c r="D783" s="1"/>
      <c r="E783" s="1"/>
      <c r="G783" s="1"/>
      <c r="I783" s="1"/>
      <c r="J783" s="1"/>
      <c r="M783" s="1"/>
    </row>
    <row r="784" spans="1:13" x14ac:dyDescent="0.15">
      <c r="A784" s="1"/>
      <c r="D784" s="1"/>
      <c r="E784" s="1"/>
      <c r="G784" s="1"/>
      <c r="I784" s="1"/>
      <c r="J784" s="1"/>
      <c r="M784" s="1"/>
    </row>
    <row r="785" spans="1:13" x14ac:dyDescent="0.15">
      <c r="A785" s="1"/>
      <c r="D785" s="1"/>
      <c r="E785" s="1"/>
      <c r="G785" s="1"/>
      <c r="I785" s="1"/>
      <c r="J785" s="1"/>
      <c r="M785" s="1"/>
    </row>
    <row r="786" spans="1:13" x14ac:dyDescent="0.15">
      <c r="A786" s="1"/>
      <c r="D786" s="1"/>
      <c r="E786" s="1"/>
      <c r="G786" s="1"/>
      <c r="I786" s="1"/>
      <c r="J786" s="1"/>
      <c r="M786" s="1"/>
    </row>
    <row r="787" spans="1:13" x14ac:dyDescent="0.15">
      <c r="A787" s="1"/>
      <c r="D787" s="1"/>
      <c r="E787" s="1"/>
      <c r="G787" s="1"/>
      <c r="I787" s="1"/>
      <c r="J787" s="1"/>
      <c r="M787" s="1"/>
    </row>
    <row r="788" spans="1:13" x14ac:dyDescent="0.15">
      <c r="A788" s="1"/>
      <c r="D788" s="1"/>
      <c r="E788" s="1"/>
      <c r="G788" s="1"/>
      <c r="I788" s="1"/>
      <c r="J788" s="1"/>
      <c r="M788" s="1"/>
    </row>
    <row r="789" spans="1:13" x14ac:dyDescent="0.15">
      <c r="A789" s="1"/>
      <c r="D789" s="1"/>
      <c r="E789" s="1"/>
      <c r="G789" s="1"/>
      <c r="I789" s="1"/>
      <c r="J789" s="1"/>
      <c r="M789" s="1"/>
    </row>
    <row r="790" spans="1:13" x14ac:dyDescent="0.15">
      <c r="A790" s="1"/>
      <c r="D790" s="1"/>
      <c r="E790" s="1"/>
      <c r="G790" s="1"/>
      <c r="I790" s="1"/>
      <c r="J790" s="1"/>
      <c r="M790" s="1"/>
    </row>
    <row r="791" spans="1:13" x14ac:dyDescent="0.15">
      <c r="A791" s="1"/>
      <c r="D791" s="1"/>
      <c r="E791" s="1"/>
      <c r="G791" s="1"/>
      <c r="I791" s="1"/>
      <c r="J791" s="1"/>
      <c r="M791" s="1"/>
    </row>
    <row r="792" spans="1:13" x14ac:dyDescent="0.15">
      <c r="A792" s="1"/>
      <c r="D792" s="1"/>
      <c r="E792" s="1"/>
      <c r="G792" s="1"/>
      <c r="I792" s="1"/>
      <c r="J792" s="1"/>
      <c r="M792" s="1"/>
    </row>
    <row r="793" spans="1:13" x14ac:dyDescent="0.15">
      <c r="A793" s="1"/>
      <c r="D793" s="1"/>
      <c r="E793" s="1"/>
      <c r="G793" s="1"/>
      <c r="I793" s="1"/>
      <c r="J793" s="1"/>
      <c r="M793" s="1"/>
    </row>
    <row r="794" spans="1:13" x14ac:dyDescent="0.15">
      <c r="A794" s="1"/>
      <c r="D794" s="1"/>
      <c r="E794" s="1"/>
      <c r="G794" s="1"/>
      <c r="I794" s="1"/>
      <c r="J794" s="1"/>
      <c r="M794" s="1"/>
    </row>
    <row r="795" spans="1:13" x14ac:dyDescent="0.15">
      <c r="A795" s="1"/>
      <c r="D795" s="1"/>
      <c r="E795" s="1"/>
      <c r="G795" s="1"/>
      <c r="I795" s="1"/>
      <c r="J795" s="1"/>
      <c r="M795" s="1"/>
    </row>
    <row r="796" spans="1:13" x14ac:dyDescent="0.15">
      <c r="A796" s="1"/>
      <c r="D796" s="1"/>
      <c r="E796" s="1"/>
      <c r="G796" s="1"/>
      <c r="I796" s="1"/>
      <c r="J796" s="1"/>
      <c r="M796" s="1"/>
    </row>
    <row r="797" spans="1:13" x14ac:dyDescent="0.15">
      <c r="A797" s="1"/>
      <c r="D797" s="1"/>
      <c r="E797" s="1"/>
      <c r="G797" s="1"/>
      <c r="I797" s="1"/>
      <c r="J797" s="1"/>
      <c r="M797" s="1"/>
    </row>
    <row r="798" spans="1:13" x14ac:dyDescent="0.15">
      <c r="A798" s="1"/>
      <c r="D798" s="1"/>
      <c r="E798" s="1"/>
      <c r="G798" s="1"/>
      <c r="I798" s="1"/>
      <c r="J798" s="1"/>
      <c r="M798" s="1"/>
    </row>
    <row r="799" spans="1:13" x14ac:dyDescent="0.15">
      <c r="A799" s="1"/>
      <c r="D799" s="1"/>
      <c r="E799" s="1"/>
      <c r="G799" s="1"/>
      <c r="I799" s="1"/>
      <c r="J799" s="1"/>
      <c r="M799" s="1"/>
    </row>
    <row r="800" spans="1:13" x14ac:dyDescent="0.15">
      <c r="A800" s="1"/>
      <c r="D800" s="1"/>
      <c r="E800" s="1"/>
      <c r="G800" s="1"/>
      <c r="I800" s="1"/>
      <c r="J800" s="1"/>
      <c r="M800" s="1"/>
    </row>
    <row r="801" spans="1:13" x14ac:dyDescent="0.15">
      <c r="A801" s="1"/>
      <c r="D801" s="1"/>
      <c r="E801" s="1"/>
      <c r="G801" s="1"/>
      <c r="I801" s="1"/>
      <c r="J801" s="1"/>
      <c r="M801" s="1"/>
    </row>
    <row r="802" spans="1:13" x14ac:dyDescent="0.15">
      <c r="A802" s="1"/>
      <c r="D802" s="1"/>
      <c r="E802" s="1"/>
      <c r="G802" s="1"/>
      <c r="I802" s="1"/>
      <c r="J802" s="1"/>
      <c r="M802" s="1"/>
    </row>
    <row r="803" spans="1:13" x14ac:dyDescent="0.15">
      <c r="A803" s="1"/>
      <c r="D803" s="1"/>
      <c r="E803" s="1"/>
      <c r="G803" s="1"/>
      <c r="I803" s="1"/>
      <c r="J803" s="1"/>
      <c r="M803" s="1"/>
    </row>
    <row r="804" spans="1:13" x14ac:dyDescent="0.15">
      <c r="A804" s="1"/>
      <c r="D804" s="1"/>
      <c r="E804" s="1"/>
      <c r="G804" s="1"/>
      <c r="I804" s="1"/>
      <c r="J804" s="1"/>
      <c r="M804" s="1"/>
    </row>
    <row r="805" spans="1:13" x14ac:dyDescent="0.15">
      <c r="A805" s="1"/>
      <c r="D805" s="1"/>
      <c r="E805" s="1"/>
      <c r="G805" s="1"/>
      <c r="I805" s="1"/>
      <c r="J805" s="1"/>
      <c r="M805" s="1"/>
    </row>
    <row r="806" spans="1:13" x14ac:dyDescent="0.15">
      <c r="A806" s="1"/>
      <c r="D806" s="1"/>
      <c r="E806" s="1"/>
      <c r="G806" s="1"/>
      <c r="I806" s="1"/>
      <c r="J806" s="1"/>
      <c r="M806" s="1"/>
    </row>
    <row r="807" spans="1:13" x14ac:dyDescent="0.15">
      <c r="A807" s="1"/>
      <c r="D807" s="1"/>
      <c r="E807" s="1"/>
      <c r="G807" s="1"/>
      <c r="I807" s="1"/>
      <c r="J807" s="1"/>
      <c r="M807" s="1"/>
    </row>
    <row r="808" spans="1:13" x14ac:dyDescent="0.15">
      <c r="A808" s="1"/>
      <c r="D808" s="1"/>
      <c r="E808" s="1"/>
      <c r="G808" s="1"/>
      <c r="I808" s="1"/>
      <c r="J808" s="1"/>
      <c r="M808" s="1"/>
    </row>
    <row r="809" spans="1:13" x14ac:dyDescent="0.15">
      <c r="A809" s="1"/>
      <c r="D809" s="1"/>
      <c r="E809" s="1"/>
      <c r="G809" s="1"/>
      <c r="I809" s="1"/>
      <c r="J809" s="1"/>
      <c r="M809" s="1"/>
    </row>
    <row r="810" spans="1:13" x14ac:dyDescent="0.15">
      <c r="A810" s="1"/>
      <c r="D810" s="1"/>
      <c r="E810" s="1"/>
      <c r="G810" s="1"/>
      <c r="I810" s="1"/>
      <c r="J810" s="1"/>
      <c r="M810" s="1"/>
    </row>
    <row r="811" spans="1:13" x14ac:dyDescent="0.15">
      <c r="A811" s="1"/>
      <c r="D811" s="1"/>
      <c r="E811" s="1"/>
      <c r="G811" s="1"/>
      <c r="I811" s="1"/>
      <c r="J811" s="1"/>
      <c r="M811" s="1"/>
    </row>
    <row r="812" spans="1:13" x14ac:dyDescent="0.15">
      <c r="A812" s="1"/>
      <c r="D812" s="1"/>
      <c r="E812" s="1"/>
      <c r="G812" s="1"/>
      <c r="I812" s="1"/>
      <c r="J812" s="1"/>
      <c r="M812" s="1"/>
    </row>
    <row r="813" spans="1:13" x14ac:dyDescent="0.15">
      <c r="A813" s="1"/>
      <c r="D813" s="1"/>
      <c r="E813" s="1"/>
      <c r="G813" s="1"/>
      <c r="I813" s="1"/>
      <c r="J813" s="1"/>
      <c r="M813" s="1"/>
    </row>
    <row r="814" spans="1:13" x14ac:dyDescent="0.15">
      <c r="A814" s="1"/>
      <c r="D814" s="1"/>
      <c r="E814" s="1"/>
      <c r="G814" s="1"/>
      <c r="I814" s="1"/>
      <c r="J814" s="1"/>
      <c r="M814" s="1"/>
    </row>
    <row r="815" spans="1:13" x14ac:dyDescent="0.15">
      <c r="A815" s="1"/>
      <c r="D815" s="1"/>
      <c r="E815" s="1"/>
      <c r="G815" s="1"/>
      <c r="I815" s="1"/>
      <c r="J815" s="1"/>
      <c r="M815" s="1"/>
    </row>
    <row r="816" spans="1:13" x14ac:dyDescent="0.15">
      <c r="A816" s="1"/>
      <c r="D816" s="1"/>
      <c r="E816" s="1"/>
      <c r="G816" s="1"/>
      <c r="I816" s="1"/>
      <c r="J816" s="1"/>
      <c r="M816" s="1"/>
    </row>
    <row r="817" spans="1:13" x14ac:dyDescent="0.15">
      <c r="A817" s="1"/>
      <c r="D817" s="1"/>
      <c r="E817" s="1"/>
      <c r="G817" s="1"/>
      <c r="I817" s="1"/>
      <c r="J817" s="1"/>
      <c r="M817" s="1"/>
    </row>
    <row r="818" spans="1:13" x14ac:dyDescent="0.15">
      <c r="A818" s="1"/>
      <c r="D818" s="1"/>
      <c r="E818" s="1"/>
      <c r="G818" s="1"/>
      <c r="I818" s="1"/>
      <c r="J818" s="1"/>
      <c r="M818" s="1"/>
    </row>
    <row r="819" spans="1:13" x14ac:dyDescent="0.15">
      <c r="A819" s="1"/>
      <c r="D819" s="1"/>
      <c r="E819" s="1"/>
      <c r="G819" s="1"/>
      <c r="I819" s="1"/>
      <c r="J819" s="1"/>
      <c r="M819" s="1"/>
    </row>
    <row r="820" spans="1:13" x14ac:dyDescent="0.15">
      <c r="A820" s="1"/>
      <c r="D820" s="1"/>
      <c r="E820" s="1"/>
      <c r="G820" s="1"/>
      <c r="I820" s="1"/>
      <c r="J820" s="1"/>
      <c r="M820" s="1"/>
    </row>
    <row r="821" spans="1:13" x14ac:dyDescent="0.15">
      <c r="A821" s="1"/>
      <c r="D821" s="1"/>
      <c r="E821" s="1"/>
      <c r="G821" s="1"/>
      <c r="I821" s="1"/>
      <c r="J821" s="1"/>
      <c r="M821" s="1"/>
    </row>
    <row r="822" spans="1:13" x14ac:dyDescent="0.15">
      <c r="A822" s="1"/>
      <c r="D822" s="1"/>
      <c r="E822" s="1"/>
      <c r="G822" s="1"/>
      <c r="I822" s="1"/>
      <c r="J822" s="1"/>
      <c r="M822" s="1"/>
    </row>
    <row r="823" spans="1:13" x14ac:dyDescent="0.15">
      <c r="A823" s="1"/>
      <c r="D823" s="1"/>
      <c r="E823" s="1"/>
      <c r="G823" s="1"/>
      <c r="I823" s="1"/>
      <c r="J823" s="1"/>
      <c r="M823" s="1"/>
    </row>
    <row r="824" spans="1:13" x14ac:dyDescent="0.15">
      <c r="A824" s="1"/>
      <c r="D824" s="1"/>
      <c r="E824" s="1"/>
      <c r="G824" s="1"/>
      <c r="I824" s="1"/>
      <c r="J824" s="1"/>
      <c r="M824" s="1"/>
    </row>
    <row r="825" spans="1:13" x14ac:dyDescent="0.15">
      <c r="A825" s="1"/>
      <c r="D825" s="1"/>
      <c r="E825" s="1"/>
      <c r="G825" s="1"/>
      <c r="I825" s="1"/>
      <c r="J825" s="1"/>
      <c r="M825" s="1"/>
    </row>
    <row r="826" spans="1:13" x14ac:dyDescent="0.15">
      <c r="A826" s="1"/>
      <c r="D826" s="1"/>
      <c r="E826" s="1"/>
      <c r="G826" s="1"/>
      <c r="I826" s="1"/>
      <c r="J826" s="1"/>
      <c r="M826" s="1"/>
    </row>
    <row r="827" spans="1:13" x14ac:dyDescent="0.15">
      <c r="A827" s="1"/>
      <c r="D827" s="1"/>
      <c r="E827" s="1"/>
      <c r="G827" s="1"/>
      <c r="I827" s="1"/>
      <c r="J827" s="1"/>
      <c r="M827" s="1"/>
    </row>
    <row r="828" spans="1:13" x14ac:dyDescent="0.15">
      <c r="A828" s="1"/>
      <c r="D828" s="1"/>
      <c r="E828" s="1"/>
      <c r="G828" s="1"/>
      <c r="I828" s="1"/>
      <c r="J828" s="1"/>
      <c r="M828" s="1"/>
    </row>
    <row r="829" spans="1:13" x14ac:dyDescent="0.15">
      <c r="A829" s="1"/>
      <c r="D829" s="1"/>
      <c r="E829" s="1"/>
      <c r="G829" s="1"/>
      <c r="I829" s="1"/>
      <c r="J829" s="1"/>
      <c r="M829" s="1"/>
    </row>
    <row r="830" spans="1:13" x14ac:dyDescent="0.15">
      <c r="A830" s="1"/>
      <c r="D830" s="1"/>
      <c r="E830" s="1"/>
      <c r="G830" s="1"/>
      <c r="I830" s="1"/>
      <c r="J830" s="1"/>
      <c r="M830" s="1"/>
    </row>
    <row r="831" spans="1:13" x14ac:dyDescent="0.15">
      <c r="A831" s="1"/>
      <c r="D831" s="1"/>
      <c r="E831" s="1"/>
      <c r="G831" s="1"/>
      <c r="I831" s="1"/>
      <c r="J831" s="1"/>
      <c r="M831" s="1"/>
    </row>
    <row r="832" spans="1:13" x14ac:dyDescent="0.15">
      <c r="A832" s="1"/>
      <c r="D832" s="1"/>
      <c r="E832" s="1"/>
      <c r="G832" s="1"/>
      <c r="I832" s="1"/>
      <c r="J832" s="1"/>
      <c r="M832" s="1"/>
    </row>
    <row r="833" spans="1:13" x14ac:dyDescent="0.15">
      <c r="A833" s="1"/>
      <c r="D833" s="1"/>
      <c r="E833" s="1"/>
      <c r="G833" s="1"/>
      <c r="I833" s="1"/>
      <c r="J833" s="1"/>
      <c r="M833" s="1"/>
    </row>
    <row r="834" spans="1:13" x14ac:dyDescent="0.15">
      <c r="A834" s="1"/>
      <c r="D834" s="1"/>
      <c r="E834" s="1"/>
      <c r="G834" s="1"/>
      <c r="I834" s="1"/>
      <c r="J834" s="1"/>
      <c r="M834" s="1"/>
    </row>
    <row r="835" spans="1:13" x14ac:dyDescent="0.15">
      <c r="A835" s="1"/>
      <c r="D835" s="1"/>
      <c r="E835" s="1"/>
      <c r="G835" s="1"/>
      <c r="I835" s="1"/>
      <c r="J835" s="1"/>
      <c r="M835" s="1"/>
    </row>
    <row r="836" spans="1:13" x14ac:dyDescent="0.15">
      <c r="A836" s="1"/>
      <c r="D836" s="1"/>
      <c r="E836" s="1"/>
      <c r="G836" s="1"/>
      <c r="I836" s="1"/>
      <c r="J836" s="1"/>
      <c r="M836" s="1"/>
    </row>
    <row r="837" spans="1:13" x14ac:dyDescent="0.15">
      <c r="A837" s="1"/>
      <c r="D837" s="1"/>
      <c r="E837" s="1"/>
      <c r="G837" s="1"/>
      <c r="I837" s="1"/>
      <c r="J837" s="1"/>
      <c r="M837" s="1"/>
    </row>
    <row r="838" spans="1:13" x14ac:dyDescent="0.15">
      <c r="A838" s="1"/>
      <c r="D838" s="1"/>
      <c r="E838" s="1"/>
      <c r="G838" s="1"/>
      <c r="I838" s="1"/>
      <c r="J838" s="1"/>
      <c r="M838" s="1"/>
    </row>
    <row r="839" spans="1:13" x14ac:dyDescent="0.15">
      <c r="A839" s="1"/>
      <c r="D839" s="1"/>
      <c r="E839" s="1"/>
      <c r="G839" s="1"/>
      <c r="I839" s="1"/>
      <c r="J839" s="1"/>
      <c r="M839" s="1"/>
    </row>
    <row r="840" spans="1:13" x14ac:dyDescent="0.15">
      <c r="A840" s="1"/>
      <c r="D840" s="1"/>
      <c r="E840" s="1"/>
      <c r="G840" s="1"/>
      <c r="I840" s="1"/>
      <c r="J840" s="1"/>
      <c r="M840" s="1"/>
    </row>
    <row r="841" spans="1:13" x14ac:dyDescent="0.15">
      <c r="A841" s="1"/>
      <c r="D841" s="1"/>
      <c r="E841" s="1"/>
      <c r="G841" s="1"/>
      <c r="I841" s="1"/>
      <c r="J841" s="1"/>
      <c r="M841" s="1"/>
    </row>
    <row r="842" spans="1:13" x14ac:dyDescent="0.15">
      <c r="A842" s="1"/>
      <c r="D842" s="1"/>
      <c r="E842" s="1"/>
      <c r="G842" s="1"/>
      <c r="I842" s="1"/>
      <c r="J842" s="1"/>
      <c r="M842" s="1"/>
    </row>
    <row r="843" spans="1:13" x14ac:dyDescent="0.15">
      <c r="A843" s="1"/>
      <c r="D843" s="1"/>
      <c r="E843" s="1"/>
      <c r="G843" s="1"/>
      <c r="I843" s="1"/>
      <c r="J843" s="1"/>
      <c r="M843" s="1"/>
    </row>
    <row r="844" spans="1:13" x14ac:dyDescent="0.15">
      <c r="A844" s="1"/>
      <c r="D844" s="1"/>
      <c r="E844" s="1"/>
      <c r="G844" s="1"/>
      <c r="I844" s="1"/>
      <c r="J844" s="1"/>
      <c r="M844" s="1"/>
    </row>
    <row r="845" spans="1:13" x14ac:dyDescent="0.15">
      <c r="A845" s="1"/>
      <c r="D845" s="1"/>
      <c r="E845" s="1"/>
      <c r="G845" s="1"/>
      <c r="I845" s="1"/>
      <c r="J845" s="1"/>
      <c r="M845" s="1"/>
    </row>
    <row r="846" spans="1:13" x14ac:dyDescent="0.15">
      <c r="A846" s="1"/>
      <c r="D846" s="1"/>
      <c r="E846" s="1"/>
      <c r="G846" s="1"/>
      <c r="I846" s="1"/>
      <c r="J846" s="1"/>
      <c r="M846" s="1"/>
    </row>
    <row r="847" spans="1:13" x14ac:dyDescent="0.15">
      <c r="A847" s="1"/>
      <c r="D847" s="1"/>
      <c r="E847" s="1"/>
      <c r="G847" s="1"/>
      <c r="I847" s="1"/>
      <c r="J847" s="1"/>
      <c r="M847" s="1"/>
    </row>
    <row r="848" spans="1:13" x14ac:dyDescent="0.15">
      <c r="A848" s="1"/>
      <c r="D848" s="1"/>
      <c r="E848" s="1"/>
      <c r="G848" s="1"/>
      <c r="I848" s="1"/>
      <c r="J848" s="1"/>
      <c r="M848" s="1"/>
    </row>
    <row r="849" spans="1:13" x14ac:dyDescent="0.15">
      <c r="A849" s="1"/>
      <c r="D849" s="1"/>
      <c r="E849" s="1"/>
      <c r="G849" s="1"/>
      <c r="I849" s="1"/>
      <c r="J849" s="1"/>
      <c r="M849" s="1"/>
    </row>
    <row r="850" spans="1:13" x14ac:dyDescent="0.15">
      <c r="A850" s="1"/>
      <c r="D850" s="1"/>
      <c r="E850" s="1"/>
      <c r="G850" s="1"/>
      <c r="I850" s="1"/>
      <c r="J850" s="1"/>
      <c r="M850" s="1"/>
    </row>
    <row r="851" spans="1:13" x14ac:dyDescent="0.15">
      <c r="A851" s="1"/>
      <c r="D851" s="1"/>
      <c r="E851" s="1"/>
      <c r="G851" s="1"/>
      <c r="I851" s="1"/>
      <c r="J851" s="1"/>
      <c r="M851" s="1"/>
    </row>
    <row r="852" spans="1:13" x14ac:dyDescent="0.15">
      <c r="A852" s="1"/>
      <c r="D852" s="1"/>
      <c r="E852" s="1"/>
      <c r="G852" s="1"/>
      <c r="I852" s="1"/>
      <c r="J852" s="1"/>
      <c r="M852" s="1"/>
    </row>
    <row r="853" spans="1:13" x14ac:dyDescent="0.15">
      <c r="A853" s="1"/>
      <c r="D853" s="1"/>
      <c r="E853" s="1"/>
      <c r="G853" s="1"/>
      <c r="I853" s="1"/>
      <c r="J853" s="1"/>
      <c r="M853" s="1"/>
    </row>
    <row r="854" spans="1:13" x14ac:dyDescent="0.15">
      <c r="A854" s="1"/>
      <c r="D854" s="1"/>
      <c r="E854" s="1"/>
      <c r="G854" s="1"/>
      <c r="I854" s="1"/>
      <c r="J854" s="1"/>
      <c r="M854" s="1"/>
    </row>
    <row r="855" spans="1:13" x14ac:dyDescent="0.15">
      <c r="A855" s="1"/>
      <c r="D855" s="1"/>
      <c r="E855" s="1"/>
      <c r="G855" s="1"/>
      <c r="I855" s="1"/>
      <c r="J855" s="1"/>
      <c r="M855" s="1"/>
    </row>
    <row r="856" spans="1:13" x14ac:dyDescent="0.15">
      <c r="A856" s="1"/>
      <c r="D856" s="1"/>
      <c r="E856" s="1"/>
      <c r="G856" s="1"/>
      <c r="I856" s="1"/>
      <c r="J856" s="1"/>
      <c r="M856" s="1"/>
    </row>
    <row r="857" spans="1:13" x14ac:dyDescent="0.15">
      <c r="A857" s="1"/>
      <c r="D857" s="1"/>
      <c r="E857" s="1"/>
      <c r="G857" s="1"/>
      <c r="I857" s="1"/>
      <c r="J857" s="1"/>
      <c r="M857" s="1"/>
    </row>
    <row r="858" spans="1:13" x14ac:dyDescent="0.15">
      <c r="A858" s="1"/>
      <c r="D858" s="1"/>
      <c r="E858" s="1"/>
      <c r="G858" s="1"/>
      <c r="I858" s="1"/>
      <c r="J858" s="1"/>
      <c r="M858" s="1"/>
    </row>
    <row r="859" spans="1:13" x14ac:dyDescent="0.15">
      <c r="A859" s="1"/>
      <c r="D859" s="1"/>
      <c r="E859" s="1"/>
      <c r="G859" s="1"/>
      <c r="I859" s="1"/>
      <c r="J859" s="1"/>
      <c r="M859" s="1"/>
    </row>
    <row r="860" spans="1:13" x14ac:dyDescent="0.15">
      <c r="A860" s="1"/>
      <c r="D860" s="1"/>
      <c r="E860" s="1"/>
      <c r="G860" s="1"/>
      <c r="I860" s="1"/>
      <c r="J860" s="1"/>
      <c r="M860" s="1"/>
    </row>
    <row r="861" spans="1:13" x14ac:dyDescent="0.15">
      <c r="A861" s="1"/>
      <c r="D861" s="1"/>
      <c r="E861" s="1"/>
      <c r="G861" s="1"/>
      <c r="I861" s="1"/>
      <c r="J861" s="1"/>
      <c r="M861" s="1"/>
    </row>
    <row r="862" spans="1:13" x14ac:dyDescent="0.15">
      <c r="A862" s="1"/>
      <c r="D862" s="1"/>
      <c r="E862" s="1"/>
      <c r="G862" s="1"/>
      <c r="I862" s="1"/>
      <c r="J862" s="1"/>
      <c r="M862" s="1"/>
    </row>
    <row r="863" spans="1:13" x14ac:dyDescent="0.15">
      <c r="A863" s="1"/>
      <c r="D863" s="1"/>
      <c r="E863" s="1"/>
      <c r="G863" s="1"/>
      <c r="I863" s="1"/>
      <c r="J863" s="1"/>
      <c r="M863" s="1"/>
    </row>
    <row r="864" spans="1:13" x14ac:dyDescent="0.15">
      <c r="A864" s="1"/>
      <c r="D864" s="1"/>
      <c r="E864" s="1"/>
      <c r="G864" s="1"/>
      <c r="I864" s="1"/>
      <c r="J864" s="1"/>
      <c r="M864" s="1"/>
    </row>
    <row r="865" spans="1:13" x14ac:dyDescent="0.15">
      <c r="A865" s="1"/>
      <c r="D865" s="1"/>
      <c r="E865" s="1"/>
      <c r="G865" s="1"/>
      <c r="I865" s="1"/>
      <c r="J865" s="1"/>
      <c r="M865" s="1"/>
    </row>
    <row r="866" spans="1:13" x14ac:dyDescent="0.15">
      <c r="A866" s="1"/>
      <c r="D866" s="1"/>
      <c r="E866" s="1"/>
      <c r="G866" s="1"/>
      <c r="I866" s="1"/>
      <c r="J866" s="1"/>
      <c r="M866" s="1"/>
    </row>
    <row r="867" spans="1:13" x14ac:dyDescent="0.15">
      <c r="A867" s="1"/>
      <c r="D867" s="1"/>
      <c r="E867" s="1"/>
      <c r="G867" s="1"/>
      <c r="I867" s="1"/>
      <c r="J867" s="1"/>
      <c r="M867" s="1"/>
    </row>
    <row r="868" spans="1:13" x14ac:dyDescent="0.15">
      <c r="A868" s="1"/>
      <c r="D868" s="1"/>
      <c r="E868" s="1"/>
      <c r="G868" s="1"/>
      <c r="I868" s="1"/>
      <c r="J868" s="1"/>
      <c r="M868" s="1"/>
    </row>
    <row r="869" spans="1:13" x14ac:dyDescent="0.15">
      <c r="A869" s="1"/>
      <c r="D869" s="1"/>
      <c r="E869" s="1"/>
      <c r="G869" s="1"/>
      <c r="I869" s="1"/>
      <c r="J869" s="1"/>
      <c r="M869" s="1"/>
    </row>
    <row r="870" spans="1:13" x14ac:dyDescent="0.15">
      <c r="A870" s="1"/>
      <c r="D870" s="1"/>
      <c r="E870" s="1"/>
      <c r="G870" s="1"/>
      <c r="I870" s="1"/>
      <c r="J870" s="1"/>
      <c r="M870" s="1"/>
    </row>
    <row r="871" spans="1:13" x14ac:dyDescent="0.15">
      <c r="A871" s="1"/>
      <c r="D871" s="1"/>
      <c r="E871" s="1"/>
      <c r="G871" s="1"/>
      <c r="I871" s="1"/>
      <c r="J871" s="1"/>
      <c r="M871" s="1"/>
    </row>
    <row r="872" spans="1:13" x14ac:dyDescent="0.15">
      <c r="A872" s="1"/>
      <c r="D872" s="1"/>
      <c r="E872" s="1"/>
      <c r="G872" s="1"/>
      <c r="I872" s="1"/>
      <c r="J872" s="1"/>
      <c r="M872" s="1"/>
    </row>
    <row r="873" spans="1:13" x14ac:dyDescent="0.15">
      <c r="A873" s="1"/>
      <c r="D873" s="1"/>
      <c r="E873" s="1"/>
      <c r="G873" s="1"/>
      <c r="I873" s="1"/>
      <c r="J873" s="1"/>
      <c r="M873" s="1"/>
    </row>
    <row r="874" spans="1:13" x14ac:dyDescent="0.15">
      <c r="A874" s="1"/>
      <c r="D874" s="1"/>
      <c r="E874" s="1"/>
      <c r="G874" s="1"/>
      <c r="I874" s="1"/>
      <c r="J874" s="1"/>
      <c r="M874" s="1"/>
    </row>
    <row r="875" spans="1:13" x14ac:dyDescent="0.15">
      <c r="A875" s="1"/>
      <c r="D875" s="1"/>
      <c r="E875" s="1"/>
      <c r="G875" s="1"/>
      <c r="I875" s="1"/>
      <c r="J875" s="1"/>
      <c r="M875" s="1"/>
    </row>
    <row r="876" spans="1:13" x14ac:dyDescent="0.15">
      <c r="A876" s="1"/>
      <c r="D876" s="1"/>
      <c r="E876" s="1"/>
      <c r="G876" s="1"/>
      <c r="I876" s="1"/>
      <c r="J876" s="1"/>
      <c r="M876" s="1"/>
    </row>
    <row r="877" spans="1:13" x14ac:dyDescent="0.15">
      <c r="A877" s="1"/>
      <c r="D877" s="1"/>
      <c r="E877" s="1"/>
      <c r="G877" s="1"/>
      <c r="I877" s="1"/>
      <c r="J877" s="1"/>
      <c r="M877" s="1"/>
    </row>
    <row r="878" spans="1:13" x14ac:dyDescent="0.15">
      <c r="A878" s="1"/>
      <c r="D878" s="1"/>
      <c r="E878" s="1"/>
      <c r="G878" s="1"/>
      <c r="I878" s="1"/>
      <c r="J878" s="1"/>
      <c r="M878" s="1"/>
    </row>
    <row r="879" spans="1:13" x14ac:dyDescent="0.15">
      <c r="A879" s="1"/>
      <c r="D879" s="1"/>
      <c r="E879" s="1"/>
      <c r="G879" s="1"/>
      <c r="I879" s="1"/>
      <c r="J879" s="1"/>
      <c r="M879" s="1"/>
    </row>
    <row r="880" spans="1:13" x14ac:dyDescent="0.15">
      <c r="A880" s="1"/>
      <c r="D880" s="1"/>
      <c r="E880" s="1"/>
      <c r="G880" s="1"/>
      <c r="I880" s="1"/>
      <c r="J880" s="1"/>
      <c r="M880" s="1"/>
    </row>
    <row r="881" spans="1:13" x14ac:dyDescent="0.15">
      <c r="A881" s="1"/>
      <c r="D881" s="1"/>
      <c r="E881" s="1"/>
      <c r="G881" s="1"/>
      <c r="I881" s="1"/>
      <c r="J881" s="1"/>
      <c r="M881" s="1"/>
    </row>
    <row r="882" spans="1:13" x14ac:dyDescent="0.15">
      <c r="A882" s="1"/>
      <c r="D882" s="1"/>
      <c r="E882" s="1"/>
      <c r="G882" s="1"/>
      <c r="I882" s="1"/>
      <c r="J882" s="1"/>
      <c r="M882" s="1"/>
    </row>
    <row r="883" spans="1:13" x14ac:dyDescent="0.15">
      <c r="A883" s="1"/>
      <c r="D883" s="1"/>
      <c r="E883" s="1"/>
      <c r="G883" s="1"/>
      <c r="I883" s="1"/>
      <c r="J883" s="1"/>
      <c r="M883" s="1"/>
    </row>
    <row r="884" spans="1:13" x14ac:dyDescent="0.15">
      <c r="A884" s="1"/>
      <c r="D884" s="1"/>
      <c r="E884" s="1"/>
      <c r="G884" s="1"/>
      <c r="I884" s="1"/>
      <c r="J884" s="1"/>
      <c r="M884" s="1"/>
    </row>
    <row r="885" spans="1:13" x14ac:dyDescent="0.15">
      <c r="A885" s="1"/>
      <c r="D885" s="1"/>
      <c r="E885" s="1"/>
      <c r="G885" s="1"/>
      <c r="I885" s="1"/>
      <c r="J885" s="1"/>
      <c r="M885" s="1"/>
    </row>
    <row r="886" spans="1:13" x14ac:dyDescent="0.15">
      <c r="A886" s="1"/>
      <c r="D886" s="1"/>
      <c r="E886" s="1"/>
      <c r="G886" s="1"/>
      <c r="I886" s="1"/>
      <c r="J886" s="1"/>
      <c r="M886" s="1"/>
    </row>
    <row r="887" spans="1:13" x14ac:dyDescent="0.15">
      <c r="A887" s="1"/>
      <c r="D887" s="1"/>
      <c r="E887" s="1"/>
      <c r="G887" s="1"/>
      <c r="I887" s="1"/>
      <c r="J887" s="1"/>
      <c r="M887" s="1"/>
    </row>
    <row r="888" spans="1:13" x14ac:dyDescent="0.15">
      <c r="A888" s="1"/>
      <c r="D888" s="1"/>
      <c r="E888" s="1"/>
      <c r="G888" s="1"/>
      <c r="I888" s="1"/>
      <c r="J888" s="1"/>
      <c r="M888" s="1"/>
    </row>
    <row r="889" spans="1:13" x14ac:dyDescent="0.15">
      <c r="A889" s="1"/>
      <c r="D889" s="1"/>
      <c r="E889" s="1"/>
      <c r="G889" s="1"/>
      <c r="I889" s="1"/>
      <c r="J889" s="1"/>
      <c r="M889" s="1"/>
    </row>
    <row r="890" spans="1:13" x14ac:dyDescent="0.15">
      <c r="A890" s="1"/>
      <c r="D890" s="1"/>
      <c r="E890" s="1"/>
      <c r="G890" s="1"/>
      <c r="I890" s="1"/>
      <c r="J890" s="1"/>
      <c r="M890" s="1"/>
    </row>
    <row r="891" spans="1:13" x14ac:dyDescent="0.15">
      <c r="A891" s="1"/>
      <c r="D891" s="1"/>
      <c r="E891" s="1"/>
      <c r="G891" s="1"/>
      <c r="I891" s="1"/>
      <c r="J891" s="1"/>
      <c r="M891" s="1"/>
    </row>
    <row r="892" spans="1:13" x14ac:dyDescent="0.15">
      <c r="A892" s="1"/>
      <c r="D892" s="1"/>
      <c r="E892" s="1"/>
      <c r="G892" s="1"/>
      <c r="I892" s="1"/>
      <c r="J892" s="1"/>
      <c r="M892" s="1"/>
    </row>
    <row r="893" spans="1:13" x14ac:dyDescent="0.15">
      <c r="A893" s="1"/>
      <c r="D893" s="1"/>
      <c r="E893" s="1"/>
      <c r="G893" s="1"/>
      <c r="I893" s="1"/>
      <c r="J893" s="1"/>
      <c r="M893" s="1"/>
    </row>
    <row r="894" spans="1:13" x14ac:dyDescent="0.15">
      <c r="A894" s="1"/>
      <c r="D894" s="1"/>
      <c r="E894" s="1"/>
      <c r="G894" s="1"/>
      <c r="I894" s="1"/>
      <c r="J894" s="1"/>
      <c r="M894" s="1"/>
    </row>
    <row r="895" spans="1:13" x14ac:dyDescent="0.15">
      <c r="A895" s="1"/>
      <c r="D895" s="1"/>
      <c r="E895" s="1"/>
      <c r="G895" s="1"/>
      <c r="I895" s="1"/>
      <c r="J895" s="1"/>
      <c r="M895" s="1"/>
    </row>
    <row r="896" spans="1:13" x14ac:dyDescent="0.15">
      <c r="A896" s="1"/>
      <c r="D896" s="1"/>
      <c r="E896" s="1"/>
      <c r="G896" s="1"/>
      <c r="I896" s="1"/>
      <c r="J896" s="1"/>
      <c r="M896" s="1"/>
    </row>
    <row r="897" spans="1:13" x14ac:dyDescent="0.15">
      <c r="A897" s="1"/>
      <c r="D897" s="1"/>
      <c r="E897" s="1"/>
      <c r="G897" s="1"/>
      <c r="I897" s="1"/>
      <c r="J897" s="1"/>
      <c r="M897" s="1"/>
    </row>
    <row r="898" spans="1:13" x14ac:dyDescent="0.15">
      <c r="A898" s="1"/>
      <c r="D898" s="1"/>
      <c r="E898" s="1"/>
      <c r="G898" s="1"/>
      <c r="I898" s="1"/>
      <c r="J898" s="1"/>
      <c r="M898" s="1"/>
    </row>
    <row r="899" spans="1:13" x14ac:dyDescent="0.15">
      <c r="A899" s="1"/>
      <c r="D899" s="1"/>
      <c r="E899" s="1"/>
      <c r="G899" s="1"/>
      <c r="I899" s="1"/>
      <c r="J899" s="1"/>
      <c r="M899" s="1"/>
    </row>
    <row r="900" spans="1:13" x14ac:dyDescent="0.15">
      <c r="A900" s="1"/>
      <c r="D900" s="1"/>
      <c r="E900" s="1"/>
      <c r="G900" s="1"/>
      <c r="I900" s="1"/>
      <c r="J900" s="1"/>
      <c r="M900" s="1"/>
    </row>
    <row r="901" spans="1:13" x14ac:dyDescent="0.15">
      <c r="A901" s="1"/>
      <c r="D901" s="1"/>
      <c r="E901" s="1"/>
      <c r="G901" s="1"/>
      <c r="I901" s="1"/>
      <c r="J901" s="1"/>
      <c r="M901" s="1"/>
    </row>
    <row r="902" spans="1:13" x14ac:dyDescent="0.15">
      <c r="A902" s="1"/>
      <c r="D902" s="1"/>
      <c r="E902" s="1"/>
      <c r="G902" s="1"/>
      <c r="I902" s="1"/>
      <c r="J902" s="1"/>
      <c r="M902" s="1"/>
    </row>
    <row r="903" spans="1:13" x14ac:dyDescent="0.15">
      <c r="A903" s="1"/>
      <c r="D903" s="1"/>
      <c r="E903" s="1"/>
      <c r="G903" s="1"/>
      <c r="I903" s="1"/>
      <c r="J903" s="1"/>
      <c r="M903" s="1"/>
    </row>
    <row r="904" spans="1:13" x14ac:dyDescent="0.15">
      <c r="A904" s="1"/>
      <c r="D904" s="1"/>
      <c r="E904" s="1"/>
      <c r="G904" s="1"/>
      <c r="I904" s="1"/>
      <c r="J904" s="1"/>
      <c r="M904" s="1"/>
    </row>
    <row r="905" spans="1:13" x14ac:dyDescent="0.15">
      <c r="A905" s="1"/>
      <c r="D905" s="1"/>
      <c r="E905" s="1"/>
      <c r="G905" s="1"/>
      <c r="I905" s="1"/>
      <c r="J905" s="1"/>
      <c r="M905" s="1"/>
    </row>
    <row r="906" spans="1:13" x14ac:dyDescent="0.15">
      <c r="A906" s="1"/>
      <c r="D906" s="1"/>
      <c r="E906" s="1"/>
      <c r="G906" s="1"/>
      <c r="I906" s="1"/>
      <c r="J906" s="1"/>
      <c r="M906" s="1"/>
    </row>
    <row r="907" spans="1:13" x14ac:dyDescent="0.15">
      <c r="A907" s="1"/>
      <c r="D907" s="1"/>
      <c r="E907" s="1"/>
      <c r="G907" s="1"/>
      <c r="I907" s="1"/>
      <c r="J907" s="1"/>
      <c r="M907" s="1"/>
    </row>
    <row r="908" spans="1:13" x14ac:dyDescent="0.15">
      <c r="A908" s="1"/>
      <c r="D908" s="1"/>
      <c r="E908" s="1"/>
      <c r="G908" s="1"/>
      <c r="I908" s="1"/>
      <c r="J908" s="1"/>
      <c r="M908" s="1"/>
    </row>
    <row r="909" spans="1:13" x14ac:dyDescent="0.15">
      <c r="A909" s="1"/>
      <c r="D909" s="1"/>
      <c r="E909" s="1"/>
      <c r="G909" s="1"/>
      <c r="I909" s="1"/>
      <c r="J909" s="1"/>
      <c r="M909" s="1"/>
    </row>
    <row r="910" spans="1:13" x14ac:dyDescent="0.15">
      <c r="A910" s="1"/>
      <c r="D910" s="1"/>
      <c r="E910" s="1"/>
      <c r="G910" s="1"/>
      <c r="I910" s="1"/>
      <c r="J910" s="1"/>
      <c r="M910" s="1"/>
    </row>
    <row r="911" spans="1:13" x14ac:dyDescent="0.15">
      <c r="A911" s="1"/>
      <c r="D911" s="1"/>
      <c r="E911" s="1"/>
      <c r="G911" s="1"/>
      <c r="I911" s="1"/>
      <c r="J911" s="1"/>
      <c r="M911" s="1"/>
    </row>
    <row r="912" spans="1:13" x14ac:dyDescent="0.15">
      <c r="A912" s="1"/>
      <c r="D912" s="1"/>
      <c r="E912" s="1"/>
      <c r="G912" s="1"/>
      <c r="I912" s="1"/>
      <c r="J912" s="1"/>
      <c r="M912" s="1"/>
    </row>
    <row r="913" spans="1:13" x14ac:dyDescent="0.15">
      <c r="A913" s="1"/>
      <c r="D913" s="1"/>
      <c r="E913" s="1"/>
      <c r="G913" s="1"/>
      <c r="I913" s="1"/>
      <c r="J913" s="1"/>
      <c r="M913" s="1"/>
    </row>
    <row r="914" spans="1:13" x14ac:dyDescent="0.15">
      <c r="A914" s="1"/>
      <c r="D914" s="1"/>
      <c r="E914" s="1"/>
      <c r="G914" s="1"/>
      <c r="I914" s="1"/>
      <c r="J914" s="1"/>
      <c r="M914" s="1"/>
    </row>
    <row r="915" spans="1:13" x14ac:dyDescent="0.15">
      <c r="A915" s="1"/>
      <c r="D915" s="1"/>
      <c r="E915" s="1"/>
      <c r="G915" s="1"/>
      <c r="I915" s="1"/>
      <c r="J915" s="1"/>
      <c r="M915" s="1"/>
    </row>
    <row r="916" spans="1:13" x14ac:dyDescent="0.15">
      <c r="A916" s="1"/>
      <c r="D916" s="1"/>
      <c r="E916" s="1"/>
      <c r="G916" s="1"/>
      <c r="I916" s="1"/>
      <c r="J916" s="1"/>
      <c r="M916" s="1"/>
    </row>
    <row r="917" spans="1:13" x14ac:dyDescent="0.15">
      <c r="A917" s="1"/>
      <c r="D917" s="1"/>
      <c r="E917" s="1"/>
      <c r="G917" s="1"/>
      <c r="I917" s="1"/>
      <c r="J917" s="1"/>
      <c r="M917" s="1"/>
    </row>
    <row r="918" spans="1:13" x14ac:dyDescent="0.15">
      <c r="A918" s="1"/>
      <c r="D918" s="1"/>
      <c r="E918" s="1"/>
      <c r="G918" s="1"/>
      <c r="I918" s="1"/>
      <c r="J918" s="1"/>
      <c r="M918" s="1"/>
    </row>
    <row r="919" spans="1:13" x14ac:dyDescent="0.15">
      <c r="A919" s="1"/>
      <c r="D919" s="1"/>
      <c r="E919" s="1"/>
      <c r="G919" s="1"/>
      <c r="I919" s="1"/>
      <c r="J919" s="1"/>
      <c r="M919" s="1"/>
    </row>
    <row r="920" spans="1:13" x14ac:dyDescent="0.15">
      <c r="A920" s="1"/>
      <c r="D920" s="1"/>
      <c r="E920" s="1"/>
      <c r="G920" s="1"/>
      <c r="I920" s="1"/>
      <c r="J920" s="1"/>
      <c r="M920" s="1"/>
    </row>
    <row r="921" spans="1:13" x14ac:dyDescent="0.15">
      <c r="A921" s="1"/>
      <c r="D921" s="1"/>
      <c r="E921" s="1"/>
      <c r="G921" s="1"/>
      <c r="I921" s="1"/>
      <c r="J921" s="1"/>
      <c r="M921" s="1"/>
    </row>
    <row r="922" spans="1:13" x14ac:dyDescent="0.15">
      <c r="A922" s="1"/>
      <c r="D922" s="1"/>
      <c r="E922" s="1"/>
      <c r="G922" s="1"/>
      <c r="I922" s="1"/>
      <c r="J922" s="1"/>
      <c r="M922" s="1"/>
    </row>
    <row r="923" spans="1:13" x14ac:dyDescent="0.15">
      <c r="A923" s="1"/>
      <c r="D923" s="1"/>
      <c r="E923" s="1"/>
      <c r="G923" s="1"/>
      <c r="I923" s="1"/>
      <c r="J923" s="1"/>
      <c r="M923" s="1"/>
    </row>
    <row r="924" spans="1:13" x14ac:dyDescent="0.15">
      <c r="A924" s="1"/>
      <c r="D924" s="1"/>
      <c r="E924" s="1"/>
      <c r="G924" s="1"/>
      <c r="I924" s="1"/>
      <c r="J924" s="1"/>
      <c r="M924" s="1"/>
    </row>
    <row r="925" spans="1:13" x14ac:dyDescent="0.15">
      <c r="A925" s="1"/>
      <c r="D925" s="1"/>
      <c r="E925" s="1"/>
      <c r="G925" s="1"/>
      <c r="I925" s="1"/>
      <c r="J925" s="1"/>
      <c r="M925" s="1"/>
    </row>
    <row r="926" spans="1:13" x14ac:dyDescent="0.15">
      <c r="A926" s="1"/>
      <c r="D926" s="1"/>
      <c r="E926" s="1"/>
      <c r="G926" s="1"/>
      <c r="I926" s="1"/>
      <c r="J926" s="1"/>
      <c r="M926" s="1"/>
    </row>
    <row r="927" spans="1:13" x14ac:dyDescent="0.15">
      <c r="A927" s="1"/>
      <c r="D927" s="1"/>
      <c r="E927" s="1"/>
      <c r="G927" s="1"/>
      <c r="I927" s="1"/>
      <c r="J927" s="1"/>
      <c r="M927" s="1"/>
    </row>
    <row r="928" spans="1:13" x14ac:dyDescent="0.15">
      <c r="A928" s="1"/>
      <c r="D928" s="1"/>
      <c r="E928" s="1"/>
      <c r="G928" s="1"/>
      <c r="I928" s="1"/>
      <c r="J928" s="1"/>
      <c r="M928" s="1"/>
    </row>
    <row r="929" spans="1:13" x14ac:dyDescent="0.15">
      <c r="A929" s="1"/>
      <c r="D929" s="1"/>
      <c r="E929" s="1"/>
      <c r="G929" s="1"/>
      <c r="I929" s="1"/>
      <c r="J929" s="1"/>
      <c r="M929" s="1"/>
    </row>
    <row r="930" spans="1:13" x14ac:dyDescent="0.15">
      <c r="A930" s="1"/>
      <c r="D930" s="1"/>
      <c r="E930" s="1"/>
      <c r="G930" s="1"/>
      <c r="I930" s="1"/>
      <c r="J930" s="1"/>
      <c r="M930" s="1"/>
    </row>
    <row r="931" spans="1:13" x14ac:dyDescent="0.15">
      <c r="A931" s="1"/>
      <c r="D931" s="1"/>
      <c r="E931" s="1"/>
      <c r="G931" s="1"/>
      <c r="I931" s="1"/>
      <c r="J931" s="1"/>
      <c r="M931" s="1"/>
    </row>
    <row r="932" spans="1:13" x14ac:dyDescent="0.15">
      <c r="A932" s="1"/>
      <c r="D932" s="1"/>
      <c r="E932" s="1"/>
      <c r="G932" s="1"/>
      <c r="I932" s="1"/>
      <c r="J932" s="1"/>
      <c r="M932" s="1"/>
    </row>
    <row r="933" spans="1:13" x14ac:dyDescent="0.15">
      <c r="A933" s="1"/>
      <c r="D933" s="1"/>
      <c r="E933" s="1"/>
      <c r="G933" s="1"/>
      <c r="I933" s="1"/>
      <c r="J933" s="1"/>
      <c r="M933" s="1"/>
    </row>
    <row r="934" spans="1:13" x14ac:dyDescent="0.15">
      <c r="A934" s="1"/>
      <c r="D934" s="1"/>
      <c r="E934" s="1"/>
      <c r="G934" s="1"/>
      <c r="I934" s="1"/>
      <c r="J934" s="1"/>
      <c r="M934" s="1"/>
    </row>
    <row r="935" spans="1:13" x14ac:dyDescent="0.15">
      <c r="A935" s="1"/>
      <c r="D935" s="1"/>
      <c r="E935" s="1"/>
      <c r="G935" s="1"/>
      <c r="I935" s="1"/>
      <c r="J935" s="1"/>
      <c r="M935" s="1"/>
    </row>
    <row r="936" spans="1:13" x14ac:dyDescent="0.15">
      <c r="A936" s="1"/>
      <c r="D936" s="1"/>
      <c r="E936" s="1"/>
      <c r="G936" s="1"/>
      <c r="I936" s="1"/>
      <c r="J936" s="1"/>
      <c r="M936" s="1"/>
    </row>
    <row r="937" spans="1:13" x14ac:dyDescent="0.15">
      <c r="A937" s="1"/>
      <c r="D937" s="1"/>
      <c r="E937" s="1"/>
      <c r="G937" s="1"/>
      <c r="I937" s="1"/>
      <c r="J937" s="1"/>
      <c r="M937" s="1"/>
    </row>
    <row r="938" spans="1:13" x14ac:dyDescent="0.15">
      <c r="A938" s="1"/>
      <c r="D938" s="1"/>
      <c r="E938" s="1"/>
      <c r="G938" s="1"/>
      <c r="I938" s="1"/>
      <c r="J938" s="1"/>
      <c r="M938" s="1"/>
    </row>
    <row r="939" spans="1:13" x14ac:dyDescent="0.15">
      <c r="A939" s="1"/>
      <c r="D939" s="1"/>
      <c r="E939" s="1"/>
      <c r="G939" s="1"/>
      <c r="I939" s="1"/>
      <c r="J939" s="1"/>
      <c r="M939" s="1"/>
    </row>
    <row r="940" spans="1:13" x14ac:dyDescent="0.15">
      <c r="A940" s="1"/>
      <c r="D940" s="1"/>
      <c r="E940" s="1"/>
      <c r="G940" s="1"/>
      <c r="I940" s="1"/>
      <c r="J940" s="1"/>
      <c r="M940" s="1"/>
    </row>
    <row r="941" spans="1:13" x14ac:dyDescent="0.15">
      <c r="A941" s="1"/>
      <c r="D941" s="1"/>
      <c r="E941" s="1"/>
      <c r="G941" s="1"/>
      <c r="I941" s="1"/>
      <c r="J941" s="1"/>
      <c r="M941" s="1"/>
    </row>
    <row r="942" spans="1:13" x14ac:dyDescent="0.15">
      <c r="A942" s="1"/>
      <c r="D942" s="1"/>
      <c r="E942" s="1"/>
      <c r="G942" s="1"/>
      <c r="I942" s="1"/>
      <c r="J942" s="1"/>
      <c r="M942" s="1"/>
    </row>
    <row r="943" spans="1:13" x14ac:dyDescent="0.15">
      <c r="A943" s="1"/>
      <c r="D943" s="1"/>
      <c r="E943" s="1"/>
      <c r="G943" s="1"/>
      <c r="I943" s="1"/>
      <c r="J943" s="1"/>
      <c r="M943" s="1"/>
    </row>
    <row r="944" spans="1:13" x14ac:dyDescent="0.15">
      <c r="A944" s="1"/>
      <c r="D944" s="1"/>
      <c r="E944" s="1"/>
      <c r="G944" s="1"/>
      <c r="I944" s="1"/>
      <c r="J944" s="1"/>
      <c r="M944" s="1"/>
    </row>
    <row r="945" spans="1:13" x14ac:dyDescent="0.15">
      <c r="A945" s="1"/>
      <c r="D945" s="1"/>
      <c r="E945" s="1"/>
      <c r="G945" s="1"/>
      <c r="I945" s="1"/>
      <c r="J945" s="1"/>
      <c r="M945" s="1"/>
    </row>
    <row r="946" spans="1:13" x14ac:dyDescent="0.15">
      <c r="A946" s="1"/>
      <c r="D946" s="1"/>
      <c r="E946" s="1"/>
      <c r="G946" s="1"/>
      <c r="I946" s="1"/>
      <c r="J946" s="1"/>
      <c r="M946" s="1"/>
    </row>
    <row r="947" spans="1:13" x14ac:dyDescent="0.15">
      <c r="A947" s="1"/>
      <c r="D947" s="1"/>
      <c r="E947" s="1"/>
      <c r="G947" s="1"/>
      <c r="I947" s="1"/>
      <c r="J947" s="1"/>
      <c r="M947" s="1"/>
    </row>
    <row r="948" spans="1:13" x14ac:dyDescent="0.15">
      <c r="A948" s="1"/>
      <c r="D948" s="1"/>
      <c r="E948" s="1"/>
      <c r="G948" s="1"/>
      <c r="I948" s="1"/>
      <c r="J948" s="1"/>
      <c r="M948" s="1"/>
    </row>
    <row r="949" spans="1:13" x14ac:dyDescent="0.15">
      <c r="A949" s="1"/>
      <c r="D949" s="1"/>
      <c r="E949" s="1"/>
      <c r="G949" s="1"/>
      <c r="I949" s="1"/>
      <c r="J949" s="1"/>
      <c r="M949" s="1"/>
    </row>
    <row r="950" spans="1:13" x14ac:dyDescent="0.15">
      <c r="A950" s="1"/>
      <c r="D950" s="1"/>
      <c r="E950" s="1"/>
      <c r="G950" s="1"/>
      <c r="I950" s="1"/>
      <c r="J950" s="1"/>
      <c r="M950" s="1"/>
    </row>
    <row r="951" spans="1:13" x14ac:dyDescent="0.15">
      <c r="A951" s="1"/>
      <c r="D951" s="1"/>
      <c r="E951" s="1"/>
      <c r="G951" s="1"/>
      <c r="I951" s="1"/>
      <c r="J951" s="1"/>
      <c r="M951" s="1"/>
    </row>
    <row r="952" spans="1:13" x14ac:dyDescent="0.15">
      <c r="A952" s="1"/>
      <c r="D952" s="1"/>
      <c r="E952" s="1"/>
      <c r="G952" s="1"/>
      <c r="I952" s="1"/>
      <c r="J952" s="1"/>
      <c r="M952" s="1"/>
    </row>
    <row r="953" spans="1:13" x14ac:dyDescent="0.15">
      <c r="A953" s="1"/>
      <c r="D953" s="1"/>
      <c r="E953" s="1"/>
      <c r="G953" s="1"/>
      <c r="I953" s="1"/>
      <c r="J953" s="1"/>
      <c r="M953" s="1"/>
    </row>
    <row r="954" spans="1:13" x14ac:dyDescent="0.15">
      <c r="A954" s="1"/>
      <c r="D954" s="1"/>
      <c r="E954" s="1"/>
      <c r="G954" s="1"/>
      <c r="I954" s="1"/>
      <c r="J954" s="1"/>
      <c r="M954" s="1"/>
    </row>
    <row r="955" spans="1:13" x14ac:dyDescent="0.15">
      <c r="A955" s="1"/>
      <c r="D955" s="1"/>
      <c r="E955" s="1"/>
      <c r="G955" s="1"/>
      <c r="I955" s="1"/>
      <c r="J955" s="1"/>
      <c r="M955" s="1"/>
    </row>
    <row r="956" spans="1:13" x14ac:dyDescent="0.15">
      <c r="A956" s="1"/>
      <c r="D956" s="1"/>
      <c r="E956" s="1"/>
      <c r="G956" s="1"/>
      <c r="I956" s="1"/>
      <c r="J956" s="1"/>
      <c r="M956" s="1"/>
    </row>
    <row r="957" spans="1:13" x14ac:dyDescent="0.15">
      <c r="A957" s="1"/>
      <c r="D957" s="1"/>
      <c r="E957" s="1"/>
      <c r="G957" s="1"/>
      <c r="I957" s="1"/>
      <c r="J957" s="1"/>
      <c r="M957" s="1"/>
    </row>
    <row r="958" spans="1:13" x14ac:dyDescent="0.15">
      <c r="A958" s="1"/>
      <c r="D958" s="1"/>
      <c r="E958" s="1"/>
      <c r="G958" s="1"/>
      <c r="I958" s="1"/>
      <c r="J958" s="1"/>
      <c r="M958" s="1"/>
    </row>
    <row r="959" spans="1:13" x14ac:dyDescent="0.15">
      <c r="A959" s="1"/>
      <c r="D959" s="1"/>
      <c r="E959" s="1"/>
      <c r="G959" s="1"/>
      <c r="I959" s="1"/>
      <c r="J959" s="1"/>
      <c r="M959" s="1"/>
    </row>
    <row r="960" spans="1:13" x14ac:dyDescent="0.15">
      <c r="A960" s="1"/>
      <c r="D960" s="1"/>
      <c r="E960" s="1"/>
      <c r="G960" s="1"/>
      <c r="I960" s="1"/>
      <c r="J960" s="1"/>
      <c r="M960" s="1"/>
    </row>
    <row r="961" spans="1:13" x14ac:dyDescent="0.15">
      <c r="A961" s="1"/>
      <c r="D961" s="1"/>
      <c r="E961" s="1"/>
      <c r="G961" s="1"/>
      <c r="I961" s="1"/>
      <c r="J961" s="1"/>
      <c r="M961" s="1"/>
    </row>
    <row r="962" spans="1:13" x14ac:dyDescent="0.15">
      <c r="A962" s="1"/>
      <c r="D962" s="1"/>
      <c r="E962" s="1"/>
      <c r="G962" s="1"/>
      <c r="I962" s="1"/>
      <c r="J962" s="1"/>
      <c r="M962" s="1"/>
    </row>
    <row r="963" spans="1:13" x14ac:dyDescent="0.15">
      <c r="A963" s="1"/>
      <c r="D963" s="1"/>
      <c r="E963" s="1"/>
      <c r="G963" s="1"/>
      <c r="I963" s="1"/>
      <c r="J963" s="1"/>
      <c r="M963" s="1"/>
    </row>
    <row r="964" spans="1:13" x14ac:dyDescent="0.15">
      <c r="A964" s="1"/>
      <c r="D964" s="1"/>
      <c r="E964" s="1"/>
      <c r="G964" s="1"/>
      <c r="I964" s="1"/>
      <c r="J964" s="1"/>
      <c r="M964" s="1"/>
    </row>
    <row r="965" spans="1:13" x14ac:dyDescent="0.15">
      <c r="A965" s="1"/>
      <c r="D965" s="1"/>
      <c r="E965" s="1"/>
      <c r="G965" s="1"/>
      <c r="I965" s="1"/>
      <c r="J965" s="1"/>
      <c r="M965" s="1"/>
    </row>
    <row r="966" spans="1:13" x14ac:dyDescent="0.15">
      <c r="A966" s="1"/>
      <c r="D966" s="1"/>
      <c r="E966" s="1"/>
      <c r="G966" s="1"/>
      <c r="I966" s="1"/>
      <c r="J966" s="1"/>
      <c r="M966" s="1"/>
    </row>
    <row r="967" spans="1:13" x14ac:dyDescent="0.15">
      <c r="A967" s="1"/>
      <c r="D967" s="1"/>
      <c r="E967" s="1"/>
      <c r="G967" s="1"/>
      <c r="I967" s="1"/>
      <c r="J967" s="1"/>
      <c r="M967" s="1"/>
    </row>
    <row r="968" spans="1:13" x14ac:dyDescent="0.15">
      <c r="A968" s="1"/>
      <c r="D968" s="1"/>
      <c r="E968" s="1"/>
      <c r="G968" s="1"/>
      <c r="I968" s="1"/>
      <c r="J968" s="1"/>
      <c r="M968" s="1"/>
    </row>
    <row r="969" spans="1:13" x14ac:dyDescent="0.15">
      <c r="A969" s="1"/>
      <c r="D969" s="1"/>
      <c r="E969" s="1"/>
      <c r="G969" s="1"/>
      <c r="I969" s="1"/>
      <c r="J969" s="1"/>
      <c r="M969" s="1"/>
    </row>
    <row r="970" spans="1:13" x14ac:dyDescent="0.15">
      <c r="A970" s="1"/>
      <c r="D970" s="1"/>
      <c r="E970" s="1"/>
      <c r="G970" s="1"/>
      <c r="I970" s="1"/>
      <c r="J970" s="1"/>
      <c r="M970" s="1"/>
    </row>
    <row r="971" spans="1:13" x14ac:dyDescent="0.15">
      <c r="A971" s="1"/>
      <c r="D971" s="1"/>
      <c r="E971" s="1"/>
      <c r="G971" s="1"/>
      <c r="I971" s="1"/>
      <c r="J971" s="1"/>
      <c r="M971" s="1"/>
    </row>
    <row r="972" spans="1:13" x14ac:dyDescent="0.15">
      <c r="A972" s="1"/>
      <c r="D972" s="1"/>
      <c r="E972" s="1"/>
      <c r="G972" s="1"/>
      <c r="I972" s="1"/>
      <c r="J972" s="1"/>
      <c r="M972" s="1"/>
    </row>
    <row r="973" spans="1:13" x14ac:dyDescent="0.15">
      <c r="A973" s="1"/>
      <c r="D973" s="1"/>
      <c r="E973" s="1"/>
      <c r="G973" s="1"/>
      <c r="I973" s="1"/>
      <c r="J973" s="1"/>
      <c r="M973" s="1"/>
    </row>
    <row r="974" spans="1:13" x14ac:dyDescent="0.15">
      <c r="A974" s="1"/>
      <c r="D974" s="1"/>
      <c r="E974" s="1"/>
      <c r="G974" s="1"/>
      <c r="I974" s="1"/>
      <c r="J974" s="1"/>
      <c r="M974" s="1"/>
    </row>
    <row r="975" spans="1:13" x14ac:dyDescent="0.15">
      <c r="A975" s="1"/>
      <c r="D975" s="1"/>
      <c r="E975" s="1"/>
      <c r="G975" s="1"/>
      <c r="I975" s="1"/>
      <c r="J975" s="1"/>
      <c r="M975" s="1"/>
    </row>
    <row r="976" spans="1:13" x14ac:dyDescent="0.15">
      <c r="A976" s="1"/>
      <c r="D976" s="1"/>
      <c r="E976" s="1"/>
      <c r="G976" s="1"/>
      <c r="I976" s="1"/>
      <c r="J976" s="1"/>
      <c r="M976" s="1"/>
    </row>
    <row r="977" spans="1:13" x14ac:dyDescent="0.15">
      <c r="A977" s="1"/>
      <c r="D977" s="1"/>
      <c r="E977" s="1"/>
      <c r="G977" s="1"/>
      <c r="I977" s="1"/>
      <c r="J977" s="1"/>
      <c r="M977" s="1"/>
    </row>
    <row r="978" spans="1:13" x14ac:dyDescent="0.15">
      <c r="A978" s="1"/>
      <c r="D978" s="1"/>
      <c r="E978" s="1"/>
      <c r="G978" s="1"/>
      <c r="I978" s="1"/>
      <c r="J978" s="1"/>
      <c r="M978" s="1"/>
    </row>
    <row r="979" spans="1:13" x14ac:dyDescent="0.15">
      <c r="A979" s="1"/>
      <c r="D979" s="1"/>
      <c r="E979" s="1"/>
      <c r="G979" s="1"/>
      <c r="I979" s="1"/>
      <c r="J979" s="1"/>
      <c r="M979" s="1"/>
    </row>
    <row r="980" spans="1:13" x14ac:dyDescent="0.15">
      <c r="A980" s="1"/>
      <c r="D980" s="1"/>
      <c r="E980" s="1"/>
      <c r="G980" s="1"/>
      <c r="I980" s="1"/>
      <c r="J980" s="1"/>
      <c r="M980" s="1"/>
    </row>
    <row r="981" spans="1:13" x14ac:dyDescent="0.15">
      <c r="A981" s="1"/>
      <c r="D981" s="1"/>
      <c r="E981" s="1"/>
      <c r="G981" s="1"/>
      <c r="I981" s="1"/>
      <c r="J981" s="1"/>
      <c r="M981" s="1"/>
    </row>
    <row r="982" spans="1:13" x14ac:dyDescent="0.15">
      <c r="A982" s="1"/>
      <c r="D982" s="1"/>
      <c r="E982" s="1"/>
      <c r="G982" s="1"/>
      <c r="I982" s="1"/>
      <c r="J982" s="1"/>
      <c r="M982" s="1"/>
    </row>
    <row r="983" spans="1:13" x14ac:dyDescent="0.15">
      <c r="A983" s="1"/>
      <c r="D983" s="1"/>
      <c r="E983" s="1"/>
      <c r="G983" s="1"/>
      <c r="I983" s="1"/>
      <c r="J983" s="1"/>
      <c r="M983" s="1"/>
    </row>
    <row r="984" spans="1:13" x14ac:dyDescent="0.15">
      <c r="A984" s="1"/>
      <c r="D984" s="1"/>
      <c r="E984" s="1"/>
      <c r="G984" s="1"/>
      <c r="I984" s="1"/>
      <c r="J984" s="1"/>
      <c r="M984" s="1"/>
    </row>
    <row r="985" spans="1:13" x14ac:dyDescent="0.15">
      <c r="A985" s="1"/>
      <c r="D985" s="1"/>
      <c r="E985" s="1"/>
      <c r="G985" s="1"/>
      <c r="I985" s="1"/>
      <c r="J985" s="1"/>
      <c r="M985" s="1"/>
    </row>
    <row r="986" spans="1:13" x14ac:dyDescent="0.15">
      <c r="A986" s="1"/>
      <c r="D986" s="1"/>
      <c r="E986" s="1"/>
      <c r="G986" s="1"/>
      <c r="I986" s="1"/>
      <c r="J986" s="1"/>
      <c r="M986" s="1"/>
    </row>
    <row r="987" spans="1:13" x14ac:dyDescent="0.15">
      <c r="A987" s="1"/>
      <c r="D987" s="1"/>
      <c r="E987" s="1"/>
      <c r="G987" s="1"/>
      <c r="I987" s="1"/>
      <c r="J987" s="1"/>
      <c r="M987" s="1"/>
    </row>
    <row r="988" spans="1:13" x14ac:dyDescent="0.15">
      <c r="A988" s="1"/>
      <c r="D988" s="1"/>
      <c r="E988" s="1"/>
      <c r="G988" s="1"/>
      <c r="I988" s="1"/>
      <c r="J988" s="1"/>
      <c r="M988" s="1"/>
    </row>
    <row r="989" spans="1:13" x14ac:dyDescent="0.15">
      <c r="A989" s="1"/>
      <c r="D989" s="1"/>
      <c r="E989" s="1"/>
      <c r="G989" s="1"/>
      <c r="I989" s="1"/>
      <c r="J989" s="1"/>
      <c r="M989" s="1"/>
    </row>
    <row r="990" spans="1:13" x14ac:dyDescent="0.15">
      <c r="A990" s="1"/>
      <c r="D990" s="1"/>
      <c r="E990" s="1"/>
      <c r="G990" s="1"/>
      <c r="I990" s="1"/>
      <c r="J990" s="1"/>
      <c r="M990" s="1"/>
    </row>
    <row r="991" spans="1:13" x14ac:dyDescent="0.15">
      <c r="A991" s="1"/>
      <c r="D991" s="1"/>
      <c r="E991" s="1"/>
      <c r="G991" s="1"/>
      <c r="I991" s="1"/>
      <c r="J991" s="1"/>
      <c r="M991" s="1"/>
    </row>
    <row r="992" spans="1:13" x14ac:dyDescent="0.15">
      <c r="A992" s="1"/>
      <c r="D992" s="1"/>
      <c r="E992" s="1"/>
      <c r="G992" s="1"/>
      <c r="I992" s="1"/>
      <c r="J992" s="1"/>
      <c r="M992" s="1"/>
    </row>
    <row r="993" spans="1:13" x14ac:dyDescent="0.15">
      <c r="A993" s="1"/>
      <c r="D993" s="1"/>
      <c r="E993" s="1"/>
      <c r="G993" s="1"/>
      <c r="I993" s="1"/>
      <c r="J993" s="1"/>
      <c r="M993" s="1"/>
    </row>
    <row r="994" spans="1:13" x14ac:dyDescent="0.15">
      <c r="A994" s="1"/>
      <c r="D994" s="1"/>
      <c r="E994" s="1"/>
      <c r="G994" s="1"/>
      <c r="I994" s="1"/>
      <c r="J994" s="1"/>
      <c r="M994" s="1"/>
    </row>
    <row r="995" spans="1:13" x14ac:dyDescent="0.15">
      <c r="A995" s="1"/>
      <c r="D995" s="1"/>
      <c r="E995" s="1"/>
      <c r="G995" s="1"/>
      <c r="I995" s="1"/>
      <c r="J995" s="1"/>
      <c r="M995" s="1"/>
    </row>
    <row r="996" spans="1:13" x14ac:dyDescent="0.15">
      <c r="A996" s="1"/>
      <c r="D996" s="1"/>
      <c r="E996" s="1"/>
      <c r="G996" s="1"/>
      <c r="I996" s="1"/>
      <c r="J996" s="1"/>
      <c r="M996" s="1"/>
    </row>
    <row r="997" spans="1:13" x14ac:dyDescent="0.15">
      <c r="A997" s="1"/>
      <c r="D997" s="1"/>
      <c r="E997" s="1"/>
      <c r="G997" s="1"/>
      <c r="I997" s="1"/>
      <c r="J997" s="1"/>
      <c r="M997" s="1"/>
    </row>
    <row r="998" spans="1:13" x14ac:dyDescent="0.15">
      <c r="A998" s="1"/>
      <c r="D998" s="1"/>
      <c r="E998" s="1"/>
      <c r="G998" s="1"/>
      <c r="I998" s="1"/>
      <c r="J998" s="1"/>
      <c r="M998" s="1"/>
    </row>
    <row r="999" spans="1:13" x14ac:dyDescent="0.15">
      <c r="A999" s="1"/>
      <c r="D999" s="1"/>
      <c r="E999" s="1"/>
      <c r="G999" s="1"/>
      <c r="I999" s="1"/>
      <c r="J999" s="1"/>
      <c r="M999" s="1"/>
    </row>
    <row r="1000" spans="1:13" x14ac:dyDescent="0.15">
      <c r="A1000" s="1"/>
      <c r="D1000" s="1"/>
      <c r="E1000" s="1"/>
      <c r="G1000" s="1"/>
      <c r="I1000" s="1"/>
      <c r="J1000" s="1"/>
      <c r="M1000" s="1"/>
    </row>
  </sheetData>
  <mergeCells count="36">
    <mergeCell ref="N12:Q13"/>
    <mergeCell ref="N11:Q11"/>
    <mergeCell ref="S2:V8"/>
    <mergeCell ref="N2:Q3"/>
    <mergeCell ref="N4:Q5"/>
    <mergeCell ref="N6:Q7"/>
    <mergeCell ref="N8:Q9"/>
    <mergeCell ref="G11:I12"/>
    <mergeCell ref="H13:I13"/>
    <mergeCell ref="J7:M7"/>
    <mergeCell ref="J8:M8"/>
    <mergeCell ref="J9:M10"/>
    <mergeCell ref="J11:M12"/>
    <mergeCell ref="K13:M13"/>
    <mergeCell ref="G7:I7"/>
    <mergeCell ref="G8:I8"/>
    <mergeCell ref="G9:I10"/>
    <mergeCell ref="A11:C12"/>
    <mergeCell ref="B13:C13"/>
    <mergeCell ref="D7:F7"/>
    <mergeCell ref="D8:F8"/>
    <mergeCell ref="D9:F10"/>
    <mergeCell ref="D11:F12"/>
    <mergeCell ref="E13:F13"/>
    <mergeCell ref="A9:C10"/>
    <mergeCell ref="A7:C7"/>
    <mergeCell ref="A8:C8"/>
    <mergeCell ref="A2:M2"/>
    <mergeCell ref="E3:M3"/>
    <mergeCell ref="E4:M4"/>
    <mergeCell ref="E5:M5"/>
    <mergeCell ref="E6:M6"/>
    <mergeCell ref="A5:D5"/>
    <mergeCell ref="A6:D6"/>
    <mergeCell ref="A3:D3"/>
    <mergeCell ref="A4:D4"/>
  </mergeCells>
  <phoneticPr fontId="7" type="noConversion"/>
  <dataValidations count="2">
    <dataValidation type="list" showInputMessage="1" showErrorMessage="1" sqref="E4" xr:uid="{48C34BC5-90A8-4E01-95BA-4E4D27A6AFBD}">
      <formula1>"全部,Q1,Q2,Q3,Q4"</formula1>
    </dataValidation>
    <dataValidation type="list" showInputMessage="1" showErrorMessage="1" sqref="E6" xr:uid="{59BD6CBB-9E39-4FF2-BD50-20BA67AA28BD}">
      <formula1>"原币,统一RMB"</formula1>
    </dataValidation>
  </dataValidations>
  <pageMargins left="0.75" right="0.75" top="1" bottom="1" header="0.5" footer="0.5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0AD9C-B9D2-4F83-A00D-EBDF2BE291FB}">
  <sheetPr codeName="Sheet23">
    <tabColor rgb="FF4472C4"/>
  </sheetPr>
  <dimension ref="A1:J20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D3" sqref="D3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18" width="16.5" customWidth="1"/>
  </cols>
  <sheetData>
    <row r="1" spans="1:10" ht="21.95" customHeight="1" x14ac:dyDescent="0.15">
      <c r="A1" s="5" t="s">
        <v>15</v>
      </c>
      <c r="B1" s="5" t="s">
        <v>14</v>
      </c>
      <c r="C1" s="5" t="s">
        <v>16</v>
      </c>
      <c r="D1" s="5" t="s">
        <v>429</v>
      </c>
      <c r="E1" s="5" t="s">
        <v>520</v>
      </c>
      <c r="F1" s="5" t="s">
        <v>521</v>
      </c>
      <c r="G1" s="5" t="s">
        <v>522</v>
      </c>
      <c r="H1" s="5" t="s">
        <v>523</v>
      </c>
      <c r="I1" s="5" t="s">
        <v>524</v>
      </c>
      <c r="J1" s="5" t="s">
        <v>525</v>
      </c>
    </row>
    <row r="2" spans="1:10" ht="20.100000000000001" customHeight="1" x14ac:dyDescent="0.15">
      <c r="A2" s="6"/>
      <c r="B2" s="6"/>
      <c r="C2" s="6"/>
      <c r="D2" s="17">
        <f>A股_指标表!D2</f>
        <v>46022</v>
      </c>
      <c r="E2" s="17">
        <f>A股_指标表!E2</f>
        <v>46022</v>
      </c>
      <c r="F2" s="17">
        <f>A股_指标表!F2</f>
        <v>46022</v>
      </c>
      <c r="G2" s="17">
        <f>A股_指标表!G2</f>
        <v>46022</v>
      </c>
      <c r="H2" s="17">
        <f>A股_指标表!H2</f>
        <v>46022</v>
      </c>
      <c r="I2" s="17">
        <f>港股_指标表!D2</f>
        <v>46022</v>
      </c>
      <c r="J2" s="17">
        <f>韩股_指标表!D2</f>
        <v>46022</v>
      </c>
    </row>
    <row r="3" spans="1:10" x14ac:dyDescent="0.15">
      <c r="A3" s="18" t="s">
        <v>81</v>
      </c>
      <c r="B3" s="18" t="s">
        <v>82</v>
      </c>
      <c r="C3" s="18" t="s">
        <v>83</v>
      </c>
      <c r="D3" s="19">
        <f>A股_指标表!D3</f>
        <v>8.5769132225603339E-2</v>
      </c>
      <c r="E3" s="19">
        <f>A股_指标表!E3</f>
        <v>-2.2990941032657777E-3</v>
      </c>
      <c r="F3" s="19">
        <f>A股_指标表!F3</f>
        <v>2.6975859069505777E-2</v>
      </c>
      <c r="G3" s="19">
        <f>A股_指标表!G3</f>
        <v>3.8594204846364874E-2</v>
      </c>
      <c r="H3" s="19">
        <f>A股_指标表!H3</f>
        <v>9.3091509075651752E-2</v>
      </c>
      <c r="I3" s="19">
        <f>港股_指标表!D3</f>
        <v>1.1763054377709831E-2</v>
      </c>
      <c r="J3" s="19">
        <f>韩股_指标表!D3</f>
        <v>-2.0265446023785015E-2</v>
      </c>
    </row>
    <row r="4" spans="1:10" x14ac:dyDescent="0.15">
      <c r="A4" s="18" t="s">
        <v>81</v>
      </c>
      <c r="B4" s="18" t="s">
        <v>84</v>
      </c>
      <c r="C4" s="18" t="s">
        <v>85</v>
      </c>
      <c r="D4" s="19">
        <f>A股_指标表!D4</f>
        <v>0.44998704775594595</v>
      </c>
      <c r="E4" s="19">
        <f>A股_指标表!E4</f>
        <v>0.3871710398679975</v>
      </c>
      <c r="F4" s="19">
        <f>A股_指标表!F4</f>
        <v>0.34960235636506271</v>
      </c>
      <c r="G4" s="19">
        <f>A股_指标表!G4</f>
        <v>0.34326065595026889</v>
      </c>
      <c r="H4" s="19">
        <f>A股_指标表!H4</f>
        <v>0.320471046113745</v>
      </c>
      <c r="I4" s="19">
        <f>港股_指标表!D4</f>
        <v>0.26339433603299811</v>
      </c>
      <c r="J4" s="19">
        <f>韩股_指标表!D4</f>
        <v>0.34763682954072583</v>
      </c>
    </row>
    <row r="5" spans="1:10" x14ac:dyDescent="0.15">
      <c r="A5" s="18" t="s">
        <v>81</v>
      </c>
      <c r="B5" s="18" t="s">
        <v>86</v>
      </c>
      <c r="C5" s="18" t="s">
        <v>87</v>
      </c>
      <c r="D5" s="19">
        <f>A股_指标表!D5</f>
        <v>0.2612693977821634</v>
      </c>
      <c r="E5" s="19">
        <f>A股_指标表!E5</f>
        <v>0.35283265220130428</v>
      </c>
      <c r="F5" s="19">
        <f>A股_指标表!F5</f>
        <v>0.28427814094201537</v>
      </c>
      <c r="G5" s="19">
        <f>A股_指标表!G5</f>
        <v>0.2886704206951653</v>
      </c>
      <c r="H5" s="19">
        <f>A股_指标表!H5</f>
        <v>0.18999986677561817</v>
      </c>
      <c r="I5" s="19">
        <f>港股_指标表!D5</f>
        <v>0.23375532841054408</v>
      </c>
      <c r="J5" s="19">
        <f>韩股_指标表!D5</f>
        <v>0.31979127882783243</v>
      </c>
    </row>
    <row r="6" spans="1:10" x14ac:dyDescent="0.15">
      <c r="A6" s="18" t="s">
        <v>81</v>
      </c>
      <c r="B6" s="18" t="s">
        <v>88</v>
      </c>
      <c r="C6" s="18" t="s">
        <v>89</v>
      </c>
      <c r="D6" s="19">
        <f>A股_指标表!D6</f>
        <v>0.14274071950140288</v>
      </c>
      <c r="E6" s="19">
        <f>A股_指标表!E6</f>
        <v>-2.1287787343298383E-3</v>
      </c>
      <c r="F6" s="19">
        <f>A股_指标表!F6</f>
        <v>2.7096018113437863E-2</v>
      </c>
      <c r="G6" s="19">
        <f>A股_指标表!G6</f>
        <v>5.1282429935469304E-2</v>
      </c>
      <c r="H6" s="19">
        <f>A股_指标表!H6</f>
        <v>0.10223907119490498</v>
      </c>
      <c r="I6" s="19">
        <f>港股_指标表!D6</f>
        <v>1.7038664124068556E-2</v>
      </c>
      <c r="J6" s="19">
        <f>韩股_指标表!D6</f>
        <v>-1.633831416778864E-2</v>
      </c>
    </row>
    <row r="7" spans="1:10" x14ac:dyDescent="0.15">
      <c r="A7" s="18" t="s">
        <v>81</v>
      </c>
      <c r="B7" s="18" t="s">
        <v>90</v>
      </c>
      <c r="C7" s="18" t="s">
        <v>91</v>
      </c>
      <c r="D7" s="19">
        <f>A股_指标表!D7</f>
        <v>0.24175796023773044</v>
      </c>
      <c r="E7" s="19">
        <f>A股_指标表!E7</f>
        <v>-2.8070459611373951E-3</v>
      </c>
      <c r="F7" s="19">
        <f>A股_指标表!F7</f>
        <v>6.7817115958736449E-2</v>
      </c>
      <c r="G7" s="19">
        <f>A股_指标表!G7</f>
        <v>9.9431277047192249E-2</v>
      </c>
      <c r="H7" s="19">
        <f>A股_指标表!H7</f>
        <v>0.16908007303887029</v>
      </c>
      <c r="I7" s="19">
        <f>港股_指标表!D7</f>
        <v>5.1465904265605836E-2</v>
      </c>
      <c r="J7" s="19">
        <f>韩股_指标表!D7</f>
        <v>-2.7994115578212513E-2</v>
      </c>
    </row>
    <row r="8" spans="1:10" x14ac:dyDescent="0.15">
      <c r="A8" s="18" t="s">
        <v>92</v>
      </c>
      <c r="B8" s="18" t="s">
        <v>93</v>
      </c>
      <c r="C8" s="18" t="s">
        <v>94</v>
      </c>
      <c r="D8" s="19">
        <f>A股_指标表!D8</f>
        <v>0.20857903222613428</v>
      </c>
      <c r="E8" s="19">
        <f>A股_指标表!E8</f>
        <v>4.835510142526811E-4</v>
      </c>
      <c r="F8" s="19">
        <f>A股_指标表!F8</f>
        <v>-2.813970098470342E-2</v>
      </c>
      <c r="G8" s="19">
        <f>A股_指标表!G8</f>
        <v>8.8142077592706647E-2</v>
      </c>
      <c r="H8" s="19">
        <f>A股_指标表!H8</f>
        <v>8.7926574957488235E-2</v>
      </c>
      <c r="I8" s="19">
        <f>港股_指标表!D8</f>
        <v>0.15438274171227451</v>
      </c>
      <c r="J8" s="19">
        <f>韩股_指标表!D8</f>
        <v>-9.9903625897373671E-2</v>
      </c>
    </row>
    <row r="9" spans="1:10" x14ac:dyDescent="0.15">
      <c r="A9" s="18" t="s">
        <v>92</v>
      </c>
      <c r="B9" s="18" t="s">
        <v>95</v>
      </c>
      <c r="C9" s="18" t="s">
        <v>96</v>
      </c>
      <c r="D9" s="19">
        <f>A股_指标表!D9</f>
        <v>0.23489697441412205</v>
      </c>
      <c r="E9" s="19">
        <f>A股_指标表!E9</f>
        <v>5.4760096064729646E-2</v>
      </c>
      <c r="F9" s="19">
        <f>A股_指标表!F9</f>
        <v>1.0248860943956606E-2</v>
      </c>
      <c r="G9" s="19">
        <f>A股_指标表!G9</f>
        <v>7.1039243521818785E-2</v>
      </c>
      <c r="H9" s="19">
        <f>A股_指标表!H9</f>
        <v>8.5319032912473336E-2</v>
      </c>
      <c r="I9" s="19">
        <f>港股_指标表!D9</f>
        <v>0.27910254379975896</v>
      </c>
      <c r="J9" s="19">
        <f>韩股_指标表!D9</f>
        <v>-7.8433375090586344E-3</v>
      </c>
    </row>
    <row r="10" spans="1:10" x14ac:dyDescent="0.15">
      <c r="A10" s="18" t="s">
        <v>92</v>
      </c>
      <c r="B10" s="18" t="s">
        <v>97</v>
      </c>
      <c r="C10" s="18" t="s">
        <v>98</v>
      </c>
      <c r="D10" s="19">
        <f>A股_指标表!D10</f>
        <v>0.18364863300294343</v>
      </c>
      <c r="E10" s="19">
        <f>A股_指标表!E10</f>
        <v>-0.88550880041751623</v>
      </c>
      <c r="F10" s="19">
        <f>A股_指标表!F10</f>
        <v>-0.27155166474313774</v>
      </c>
      <c r="G10" s="19">
        <f>A股_指标表!G10</f>
        <v>6.6923741290154659E-3</v>
      </c>
      <c r="H10" s="19">
        <f>A股_指标表!H10</f>
        <v>0.28983134601606597</v>
      </c>
      <c r="I10" s="19">
        <f>港股_指标表!D10</f>
        <v>-0.68046932474583532</v>
      </c>
      <c r="J10" s="19">
        <f>韩股_指标表!D10</f>
        <v>1.722271256251839</v>
      </c>
    </row>
    <row r="11" spans="1:10" x14ac:dyDescent="0.15">
      <c r="A11" s="18" t="s">
        <v>99</v>
      </c>
      <c r="B11" s="18" t="s">
        <v>100</v>
      </c>
      <c r="C11" s="18" t="s">
        <v>101</v>
      </c>
      <c r="D11" s="20">
        <f>A股_指标表!D11</f>
        <v>2.3766712370954823</v>
      </c>
      <c r="E11" s="20">
        <f>A股_指标表!E11</f>
        <v>1.0265741436863174</v>
      </c>
      <c r="F11" s="20">
        <f>A股_指标表!F11</f>
        <v>1.1200031846409098</v>
      </c>
      <c r="G11" s="20">
        <f>A股_指标表!G11</f>
        <v>2.0116461718598422</v>
      </c>
      <c r="H11" s="20">
        <f>A股_指标表!H11</f>
        <v>1.176410849060342</v>
      </c>
      <c r="I11" s="20">
        <f>港股_指标表!D11</f>
        <v>1.4942046887682925</v>
      </c>
      <c r="J11" s="20">
        <f>韩股_指标表!D11</f>
        <v>1.6198850720857894</v>
      </c>
    </row>
    <row r="12" spans="1:10" x14ac:dyDescent="0.15">
      <c r="A12" s="18" t="s">
        <v>99</v>
      </c>
      <c r="B12" s="18" t="s">
        <v>102</v>
      </c>
      <c r="C12" s="18" t="s">
        <v>103</v>
      </c>
      <c r="D12" s="20">
        <f>A股_指标表!D12</f>
        <v>1.638382028308587</v>
      </c>
      <c r="E12" s="20">
        <f>A股_指标表!E12</f>
        <v>0.63043544061300572</v>
      </c>
      <c r="F12" s="20">
        <f>A股_指标表!F12</f>
        <v>0.90778001121518115</v>
      </c>
      <c r="G12" s="20">
        <f>A股_指标表!G12</f>
        <v>1.5003219736627267</v>
      </c>
      <c r="H12" s="20">
        <f>A股_指标表!H12</f>
        <v>0.88324399140918208</v>
      </c>
      <c r="I12" s="20">
        <f>港股_指标表!D12</f>
        <v>1.4202169934340898</v>
      </c>
      <c r="J12" s="20">
        <f>韩股_指标表!D12</f>
        <v>1.1311809416894338</v>
      </c>
    </row>
    <row r="13" spans="1:10" x14ac:dyDescent="0.15">
      <c r="A13" s="18" t="s">
        <v>99</v>
      </c>
      <c r="B13" s="18" t="s">
        <v>104</v>
      </c>
      <c r="C13" s="18" t="s">
        <v>105</v>
      </c>
      <c r="D13" s="20">
        <f>A股_指标表!D13</f>
        <v>0.54022354841237985</v>
      </c>
      <c r="E13" s="20">
        <f>A股_指标表!E13</f>
        <v>0.24215788457096943</v>
      </c>
      <c r="F13" s="20">
        <f>A股_指标表!F13</f>
        <v>0.52094667910312487</v>
      </c>
      <c r="G13" s="20">
        <f>A股_指标表!G13</f>
        <v>0.26686683059630034</v>
      </c>
      <c r="H13" s="20">
        <f>A股_指标表!H13</f>
        <v>0.3321116505384672</v>
      </c>
      <c r="I13" s="20">
        <f>港股_指标表!D13</f>
        <v>0.52897830015830538</v>
      </c>
      <c r="J13" s="20">
        <f>韩股_指标表!D13</f>
        <v>0.39532907651420468</v>
      </c>
    </row>
    <row r="14" spans="1:10" x14ac:dyDescent="0.15">
      <c r="A14" s="18" t="s">
        <v>99</v>
      </c>
      <c r="B14" s="18" t="s">
        <v>106</v>
      </c>
      <c r="C14" s="18" t="s">
        <v>107</v>
      </c>
      <c r="D14" s="19">
        <f>A股_指标表!D14</f>
        <v>0.4662018496386523</v>
      </c>
      <c r="E14" s="19">
        <f>A股_指标表!E14</f>
        <v>0.63225228492356522</v>
      </c>
      <c r="F14" s="19">
        <f>A股_指标表!F14</f>
        <v>0.58221857261511289</v>
      </c>
      <c r="G14" s="19">
        <f>A股_指标表!G14</f>
        <v>0.50513127273777492</v>
      </c>
      <c r="H14" s="19">
        <f>A股_指标表!H14</f>
        <v>0.42746540942286015</v>
      </c>
      <c r="I14" s="19">
        <f>港股_指标表!D14</f>
        <v>0.68893239944386564</v>
      </c>
      <c r="J14" s="19">
        <f>韩股_指标表!D14</f>
        <v>0.3948762534700187</v>
      </c>
    </row>
    <row r="15" spans="1:10" x14ac:dyDescent="0.15">
      <c r="A15" s="18" t="s">
        <v>108</v>
      </c>
      <c r="B15" s="18" t="s">
        <v>109</v>
      </c>
      <c r="C15" s="18" t="s">
        <v>110</v>
      </c>
      <c r="D15" s="20">
        <f>A股_指标表!D15</f>
        <v>88.380560837782056</v>
      </c>
      <c r="E15" s="20">
        <f>A股_指标表!E15</f>
        <v>113.92605915763352</v>
      </c>
      <c r="F15" s="20">
        <f>A股_指标表!F15</f>
        <v>56.493264051053082</v>
      </c>
      <c r="G15" s="20">
        <f>A股_指标表!G15</f>
        <v>82.122836353040256</v>
      </c>
      <c r="H15" s="20">
        <f>A股_指标表!H15</f>
        <v>59.785298470669687</v>
      </c>
      <c r="I15" s="20">
        <f>港股_指标表!D15</f>
        <v>331.45330231502493</v>
      </c>
      <c r="J15" s="20">
        <f>韩股_指标表!D15</f>
        <v>118.78882034495783</v>
      </c>
    </row>
    <row r="16" spans="1:10" x14ac:dyDescent="0.15">
      <c r="A16" s="18" t="s">
        <v>108</v>
      </c>
      <c r="B16" s="18" t="s">
        <v>111</v>
      </c>
      <c r="C16" s="18" t="s">
        <v>112</v>
      </c>
      <c r="D16" s="20">
        <f>A股_指标表!D16</f>
        <v>20.804216280368109</v>
      </c>
      <c r="E16" s="20">
        <f>A股_指标表!E16</f>
        <v>59.080060745446573</v>
      </c>
      <c r="F16" s="20">
        <f>A股_指标表!F16</f>
        <v>42.466356903198097</v>
      </c>
      <c r="G16" s="20">
        <f>A股_指标表!G16</f>
        <v>21.343431821242614</v>
      </c>
      <c r="H16" s="20">
        <f>A股_指标表!H16</f>
        <v>30.031216985582173</v>
      </c>
      <c r="I16" s="20">
        <f>港股_指标表!D16</f>
        <v>71.694922189182677</v>
      </c>
      <c r="J16" s="20">
        <f>韩股_指标表!D16</f>
        <v>73.985265774546107</v>
      </c>
    </row>
    <row r="17" spans="1:10" x14ac:dyDescent="0.15">
      <c r="A17" s="18" t="s">
        <v>108</v>
      </c>
      <c r="B17" s="18" t="s">
        <v>113</v>
      </c>
      <c r="C17" s="18" t="s">
        <v>114</v>
      </c>
      <c r="D17" s="20">
        <f>A股_指标表!D17</f>
        <v>39.181340090844856</v>
      </c>
      <c r="E17" s="20">
        <f>A股_指标表!E17</f>
        <v>109.38322206505805</v>
      </c>
      <c r="F17" s="20">
        <f>A股_指标表!F17</f>
        <v>107.06891079089618</v>
      </c>
      <c r="G17" s="20">
        <f>A股_指标表!G17</f>
        <v>29.70387599112939</v>
      </c>
      <c r="H17" s="20">
        <f>A股_指标表!H17</f>
        <v>48.879269484207242</v>
      </c>
      <c r="I17" s="20">
        <f>港股_指标表!D17</f>
        <v>2165.3532493569373</v>
      </c>
      <c r="J17" s="20">
        <f>韩股_指标表!D17</f>
        <v>42.422346720382727</v>
      </c>
    </row>
    <row r="18" spans="1:10" x14ac:dyDescent="0.15">
      <c r="A18" s="18" t="s">
        <v>108</v>
      </c>
      <c r="B18" s="18" t="s">
        <v>115</v>
      </c>
      <c r="C18" s="18" t="s">
        <v>116</v>
      </c>
      <c r="D18" s="20">
        <f>A股_指标表!D18</f>
        <v>70.00343702730531</v>
      </c>
      <c r="E18" s="20">
        <f>A股_指标表!E18</f>
        <v>63.622897838022055</v>
      </c>
      <c r="F18" s="20">
        <f>A股_指标表!F18</f>
        <v>-8.1092898366450044</v>
      </c>
      <c r="G18" s="20">
        <f>A股_指标表!G18</f>
        <v>73.76239218315348</v>
      </c>
      <c r="H18" s="20">
        <f>A股_指标表!H18</f>
        <v>40.937245972044622</v>
      </c>
      <c r="I18" s="20">
        <f>港股_指标表!D18</f>
        <v>-1762.2050248527298</v>
      </c>
      <c r="J18" s="20">
        <f>韩股_指标表!D18</f>
        <v>150.35173939912119</v>
      </c>
    </row>
    <row r="19" spans="1:10" x14ac:dyDescent="0.15">
      <c r="A19" s="18" t="s">
        <v>108</v>
      </c>
      <c r="B19" s="18" t="s">
        <v>117</v>
      </c>
      <c r="C19" s="18" t="s">
        <v>118</v>
      </c>
      <c r="D19" s="20">
        <f>A股_指标表!D19</f>
        <v>2.1448177412080356</v>
      </c>
      <c r="E19" s="20">
        <f>A股_指标表!E19</f>
        <v>1.9719514407525762</v>
      </c>
      <c r="F19" s="20">
        <f>A股_指标表!F19</f>
        <v>1.8507477032813049</v>
      </c>
      <c r="G19" s="20">
        <f>A股_指标表!G19</f>
        <v>2.0168016073134347</v>
      </c>
      <c r="H19" s="20">
        <f>A股_指标表!H19</f>
        <v>2.4284075213331056</v>
      </c>
      <c r="I19" s="20">
        <f>港股_指标表!D19</f>
        <v>2.544837952268189</v>
      </c>
      <c r="J19" s="20">
        <f>韩股_指标表!D19</f>
        <v>1.5498813208224462</v>
      </c>
    </row>
    <row r="20" spans="1:10" x14ac:dyDescent="0.15">
      <c r="A20" s="18" t="s">
        <v>108</v>
      </c>
      <c r="B20" s="18" t="s">
        <v>119</v>
      </c>
      <c r="C20" s="18" t="s">
        <v>120</v>
      </c>
      <c r="D20" s="20">
        <f>A股_指标表!D20</f>
        <v>1.6642434847765974</v>
      </c>
      <c r="E20" s="20">
        <f>A股_指标表!E20</f>
        <v>0.9259206621016457</v>
      </c>
      <c r="F20" s="20">
        <f>A股_指标表!F20</f>
        <v>1.004454317603843</v>
      </c>
      <c r="G20" s="20">
        <f>A股_指标表!G20</f>
        <v>1.3287598524082436</v>
      </c>
      <c r="H20" s="20">
        <f>A股_指标表!H20</f>
        <v>1.098264194125582</v>
      </c>
      <c r="I20" s="20">
        <f>港股_指标表!D20</f>
        <v>1.4484897864924977</v>
      </c>
      <c r="J20" s="20">
        <f>韩股_指标表!D20</f>
        <v>0.80621537510759911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L28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spans="1:12" ht="21.95" customHeight="1" x14ac:dyDescent="0.15">
      <c r="A1" s="5" t="s">
        <v>528</v>
      </c>
      <c r="B1" s="5" t="s">
        <v>14</v>
      </c>
      <c r="C1" s="190" t="s">
        <v>144</v>
      </c>
      <c r="D1" s="191"/>
      <c r="E1" s="190" t="s">
        <v>497</v>
      </c>
      <c r="F1" s="191"/>
      <c r="G1" s="190" t="s">
        <v>498</v>
      </c>
      <c r="H1" s="191"/>
      <c r="I1" s="190" t="s">
        <v>499</v>
      </c>
      <c r="J1" s="191"/>
      <c r="K1" s="190" t="s">
        <v>500</v>
      </c>
      <c r="L1" s="191"/>
    </row>
    <row r="2" spans="1:12" ht="20.100000000000001" customHeight="1" x14ac:dyDescent="0.35">
      <c r="A2" s="6"/>
      <c r="B2" s="6"/>
      <c r="C2" s="7">
        <v>46022</v>
      </c>
      <c r="D2" s="7">
        <v>45657</v>
      </c>
      <c r="E2" s="7">
        <v>46022</v>
      </c>
      <c r="F2" s="7">
        <v>45657</v>
      </c>
      <c r="G2" s="7">
        <v>46022</v>
      </c>
      <c r="H2" s="7">
        <v>45657</v>
      </c>
      <c r="I2" s="7">
        <v>46022</v>
      </c>
      <c r="J2" s="7">
        <v>45657</v>
      </c>
      <c r="K2" s="7">
        <v>46022</v>
      </c>
      <c r="L2" s="7">
        <v>45657</v>
      </c>
    </row>
    <row r="3" spans="1:12" ht="16.5" x14ac:dyDescent="0.35">
      <c r="A3" s="8" t="s">
        <v>250</v>
      </c>
      <c r="B3" s="8" t="s">
        <v>251</v>
      </c>
      <c r="C3" s="9">
        <f>IF(C202="","",IF(样本池!$E$6="原币",C202,IF(ISNUMBER(C202),C202*1,C202)))</f>
        <v>365650.93</v>
      </c>
      <c r="D3" s="9">
        <f>IF(D202="","",IF(样本池!$E$6="原币",D202,IF(ISNUMBER(D202),D202*1,D202)))</f>
        <v>253358.39</v>
      </c>
      <c r="E3" s="9">
        <f>IF(E202="","",IF(样本池!$E$6="原币",E202,IF(ISNUMBER(E202),E202*1,E202)))</f>
        <v>108885.53</v>
      </c>
      <c r="F3" s="9">
        <f>IF(F202="","",IF(样本池!$E$6="原币",F202,IF(ISNUMBER(F202),F202*1,F202)))</f>
        <v>100628.3</v>
      </c>
      <c r="G3" s="9">
        <f>IF(G202="","",IF(样本池!$E$6="原币",G202,IF(ISNUMBER(G202),G202*1,G202)))</f>
        <v>216123.19</v>
      </c>
      <c r="H3" s="9">
        <f>IF(H202="","",IF(样本池!$E$6="原币",H202,IF(ISNUMBER(H202),H202*1,H202)))</f>
        <v>234244.18</v>
      </c>
      <c r="I3" s="9">
        <f>IF(I202="","",IF(样本池!$E$6="原币",I202,IF(ISNUMBER(I202),I202*1,I202)))</f>
        <v>66668.289999999994</v>
      </c>
      <c r="J3" s="9">
        <f>IF(J202="","",IF(样本池!$E$6="原币",J202,IF(ISNUMBER(J202),J202*1,J202)))</f>
        <v>68705.14</v>
      </c>
      <c r="K3" s="9">
        <f>IF(K202="","",IF(样本池!$E$6="原币",K202,IF(ISNUMBER(K202),K202*1,K202)))</f>
        <v>256891.54</v>
      </c>
      <c r="L3" s="9">
        <f>IF(L202="","",IF(样本池!$E$6="原币",L202,IF(ISNUMBER(L202),L202*1,L202)))</f>
        <v>255015.47</v>
      </c>
    </row>
    <row r="4" spans="1:12" ht="16.5" x14ac:dyDescent="0.35">
      <c r="A4" s="8" t="s">
        <v>250</v>
      </c>
      <c r="B4" s="8" t="s">
        <v>252</v>
      </c>
      <c r="C4" s="9">
        <f>IF(C203="","",IF(样本池!$E$6="原币",C203,IF(ISNUMBER(C203),C203*1,C203)))</f>
        <v>246699.57</v>
      </c>
      <c r="D4" s="9">
        <f>IF(D203="","",IF(样本池!$E$6="原币",D203,IF(ISNUMBER(D203),D203*1,D203)))</f>
        <v>233070.76</v>
      </c>
      <c r="E4" s="9" t="str">
        <f>IF(E203="","",IF(样本池!$E$6="原币",E203,IF(ISNUMBER(E203),E203*1,E203)))</f>
        <v/>
      </c>
      <c r="F4" s="9">
        <f>IF(F203="","",IF(样本池!$E$6="原币",F203,IF(ISNUMBER(F203),F203*1,F203)))</f>
        <v>9084.76</v>
      </c>
      <c r="G4" s="9">
        <f>IF(G203="","",IF(样本池!$E$6="原币",G203,IF(ISNUMBER(G203),G203*1,G203)))</f>
        <v>10707.5</v>
      </c>
      <c r="H4" s="9" t="str">
        <f>IF(H203="","",IF(样本池!$E$6="原币",H203,IF(ISNUMBER(H203),H203*1,H203)))</f>
        <v/>
      </c>
      <c r="I4" s="9">
        <f>IF(I203="","",IF(样本池!$E$6="原币",I203,IF(ISNUMBER(I203),I203*1,I203)))</f>
        <v>57563.37</v>
      </c>
      <c r="J4" s="9">
        <f>IF(J203="","",IF(样本池!$E$6="原币",J203,IF(ISNUMBER(J203),J203*1,J203)))</f>
        <v>38756.44</v>
      </c>
      <c r="K4" s="9">
        <f>IF(K203="","",IF(样本池!$E$6="原币",K203,IF(ISNUMBER(K203),K203*1,K203)))</f>
        <v>136064.54</v>
      </c>
      <c r="L4" s="9">
        <f>IF(L203="","",IF(样本池!$E$6="原币",L203,IF(ISNUMBER(L203),L203*1,L203)))</f>
        <v>66173.87</v>
      </c>
    </row>
    <row r="5" spans="1:12" ht="16.5" x14ac:dyDescent="0.35">
      <c r="A5" s="8" t="s">
        <v>250</v>
      </c>
      <c r="B5" s="8" t="s">
        <v>253</v>
      </c>
      <c r="C5" s="9">
        <f>IF(C204="","",IF(样本池!$E$6="原币",C204,IF(ISNUMBER(C204),C204*1,C204)))</f>
        <v>13168.59</v>
      </c>
      <c r="D5" s="9" t="str">
        <f>IF(D204="","",IF(样本池!$E$6="原币",D204,IF(ISNUMBER(D204),D204*1,D204)))</f>
        <v/>
      </c>
      <c r="E5" s="9" t="str">
        <f>IF(E204="","",IF(样本池!$E$6="原币",E204,IF(ISNUMBER(E204),E204*1,E204)))</f>
        <v/>
      </c>
      <c r="F5" s="9" t="str">
        <f>IF(F204="","",IF(样本池!$E$6="原币",F204,IF(ISNUMBER(F204),F204*1,F204)))</f>
        <v/>
      </c>
      <c r="G5" s="9" t="str">
        <f>IF(G204="","",IF(样本池!$E$6="原币",G204,IF(ISNUMBER(G204),G204*1,G204)))</f>
        <v/>
      </c>
      <c r="H5" s="9" t="str">
        <f>IF(H204="","",IF(样本池!$E$6="原币",H204,IF(ISNUMBER(H204),H204*1,H204)))</f>
        <v/>
      </c>
      <c r="I5" s="9">
        <f>IF(I204="","",IF(样本池!$E$6="原币",I204,IF(ISNUMBER(I204),I204*1,I204)))</f>
        <v>591.89</v>
      </c>
      <c r="J5" s="9">
        <f>IF(J204="","",IF(样本池!$E$6="原币",J204,IF(ISNUMBER(J204),J204*1,J204)))</f>
        <v>275.08</v>
      </c>
      <c r="K5" s="9" t="str">
        <f>IF(K204="","",IF(样本池!$E$6="原币",K204,IF(ISNUMBER(K204),K204*1,K204)))</f>
        <v/>
      </c>
      <c r="L5" s="9" t="str">
        <f>IF(L204="","",IF(样本池!$E$6="原币",L204,IF(ISNUMBER(L204),L204*1,L204)))</f>
        <v/>
      </c>
    </row>
    <row r="6" spans="1:12" ht="16.5" x14ac:dyDescent="0.35">
      <c r="A6" s="8" t="s">
        <v>250</v>
      </c>
      <c r="B6" s="8" t="s">
        <v>254</v>
      </c>
      <c r="C6" s="9">
        <f>IF(C205="","",IF(样本池!$E$6="原币",C205,IF(ISNUMBER(C205),C205*1,C205)))</f>
        <v>187262.35</v>
      </c>
      <c r="D6" s="9">
        <f>IF(D205="","",IF(样本池!$E$6="原币",D205,IF(ISNUMBER(D205),D205*1,D205)))</f>
        <v>165420.01</v>
      </c>
      <c r="E6" s="9">
        <f>IF(E205="","",IF(样本池!$E$6="原币",E205,IF(ISNUMBER(E205),E205*1,E205)))</f>
        <v>145782.47</v>
      </c>
      <c r="F6" s="9">
        <f>IF(F205="","",IF(样本池!$E$6="原币",F205,IF(ISNUMBER(F205),F205*1,F205)))</f>
        <v>146731.95000000001</v>
      </c>
      <c r="G6" s="9">
        <f>IF(G205="","",IF(样本池!$E$6="原币",G205,IF(ISNUMBER(G205),G205*1,G205)))</f>
        <v>97895.84</v>
      </c>
      <c r="H6" s="9">
        <f>IF(H205="","",IF(样本池!$E$6="原币",H205,IF(ISNUMBER(H205),H205*1,H205)))</f>
        <v>110241.77</v>
      </c>
      <c r="I6" s="9">
        <f>IF(I205="","",IF(样本池!$E$6="原币",I205,IF(ISNUMBER(I205),I205*1,I205)))</f>
        <v>74900.14</v>
      </c>
      <c r="J6" s="9">
        <f>IF(J205="","",IF(样本池!$E$6="原币",J205,IF(ISNUMBER(J205),J205*1,J205)))</f>
        <v>28271</v>
      </c>
      <c r="K6" s="9">
        <f>IF(K205="","",IF(样本池!$E$6="原币",K205,IF(ISNUMBER(K205),K205*1,K205)))</f>
        <v>186967.6</v>
      </c>
      <c r="L6" s="9">
        <f>IF(L205="","",IF(样本池!$E$6="原币",L205,IF(ISNUMBER(L205),L205*1,L205)))</f>
        <v>147653.38</v>
      </c>
    </row>
    <row r="7" spans="1:12" ht="16.5" x14ac:dyDescent="0.35">
      <c r="A7" s="8" t="s">
        <v>250</v>
      </c>
      <c r="B7" s="8" t="s">
        <v>255</v>
      </c>
      <c r="C7" s="9" t="str">
        <f>IF(C206="","",IF(样本池!$E$6="原币",C206,IF(ISNUMBER(C206),C206*1,C206)))</f>
        <v/>
      </c>
      <c r="D7" s="9" t="str">
        <f>IF(D206="","",IF(样本池!$E$6="原币",D206,IF(ISNUMBER(D206),D206*1,D206)))</f>
        <v/>
      </c>
      <c r="E7" s="9" t="str">
        <f>IF(E206="","",IF(样本池!$E$6="原币",E206,IF(ISNUMBER(E206),E206*1,E206)))</f>
        <v/>
      </c>
      <c r="F7" s="9" t="str">
        <f>IF(F206="","",IF(样本池!$E$6="原币",F206,IF(ISNUMBER(F206),F206*1,F206)))</f>
        <v/>
      </c>
      <c r="G7" s="9">
        <f>IF(G206="","",IF(样本池!$E$6="原币",G206,IF(ISNUMBER(G206),G206*1,G206)))</f>
        <v>85.5</v>
      </c>
      <c r="H7" s="9" t="str">
        <f>IF(H206="","",IF(样本池!$E$6="原币",H206,IF(ISNUMBER(H206),H206*1,H206)))</f>
        <v/>
      </c>
      <c r="I7" s="9" t="str">
        <f>IF(I206="","",IF(样本池!$E$6="原币",I206,IF(ISNUMBER(I206),I206*1,I206)))</f>
        <v/>
      </c>
      <c r="J7" s="9" t="str">
        <f>IF(J206="","",IF(样本池!$E$6="原币",J206,IF(ISNUMBER(J206),J206*1,J206)))</f>
        <v/>
      </c>
      <c r="K7" s="9" t="str">
        <f>IF(K206="","",IF(样本池!$E$6="原币",K206,IF(ISNUMBER(K206),K206*1,K206)))</f>
        <v/>
      </c>
      <c r="L7" s="9" t="str">
        <f>IF(L206="","",IF(样本池!$E$6="原币",L206,IF(ISNUMBER(L206),L206*1,L206)))</f>
        <v/>
      </c>
    </row>
    <row r="8" spans="1:12" ht="16.5" x14ac:dyDescent="0.35">
      <c r="A8" s="8" t="s">
        <v>250</v>
      </c>
      <c r="B8" s="8" t="s">
        <v>256</v>
      </c>
      <c r="C8" s="9">
        <f>IF(C207="","",IF(样本池!$E$6="原币",C207,IF(ISNUMBER(C207),C207*1,C207)))</f>
        <v>187262.35</v>
      </c>
      <c r="D8" s="9">
        <f>IF(D207="","",IF(样本池!$E$6="原币",D207,IF(ISNUMBER(D207),D207*1,D207)))</f>
        <v>165420.01</v>
      </c>
      <c r="E8" s="9">
        <f>IF(E207="","",IF(样本池!$E$6="原币",E207,IF(ISNUMBER(E207),E207*1,E207)))</f>
        <v>145782.47</v>
      </c>
      <c r="F8" s="9">
        <f>IF(F207="","",IF(样本池!$E$6="原币",F207,IF(ISNUMBER(F207),F207*1,F207)))</f>
        <v>146731.95000000001</v>
      </c>
      <c r="G8" s="9">
        <f>IF(G207="","",IF(样本池!$E$6="原币",G207,IF(ISNUMBER(G207),G207*1,G207)))</f>
        <v>97810.34</v>
      </c>
      <c r="H8" s="9">
        <f>IF(H207="","",IF(样本池!$E$6="原币",H207,IF(ISNUMBER(H207),H207*1,H207)))</f>
        <v>110241.77</v>
      </c>
      <c r="I8" s="9">
        <f>IF(I207="","",IF(样本池!$E$6="原币",I207,IF(ISNUMBER(I207),I207*1,I207)))</f>
        <v>74900.14</v>
      </c>
      <c r="J8" s="9">
        <f>IF(J207="","",IF(样本池!$E$6="原币",J207,IF(ISNUMBER(J207),J207*1,J207)))</f>
        <v>28271</v>
      </c>
      <c r="K8" s="9">
        <f>IF(K207="","",IF(样本池!$E$6="原币",K207,IF(ISNUMBER(K207),K207*1,K207)))</f>
        <v>186967.6</v>
      </c>
      <c r="L8" s="9">
        <f>IF(L207="","",IF(样本池!$E$6="原币",L207,IF(ISNUMBER(L207),L207*1,L207)))</f>
        <v>147653.38</v>
      </c>
    </row>
    <row r="9" spans="1:12" ht="16.5" x14ac:dyDescent="0.35">
      <c r="A9" s="8" t="s">
        <v>250</v>
      </c>
      <c r="B9" s="8" t="s">
        <v>257</v>
      </c>
      <c r="C9" s="9" t="str">
        <f>IF(C208="","",IF(样本池!$E$6="原币",C208,IF(ISNUMBER(C208),C208*1,C208)))</f>
        <v/>
      </c>
      <c r="D9" s="9" t="str">
        <f>IF(D208="","",IF(样本池!$E$6="原币",D208,IF(ISNUMBER(D208),D208*1,D208)))</f>
        <v/>
      </c>
      <c r="E9" s="9">
        <f>IF(E208="","",IF(样本池!$E$6="原币",E208,IF(ISNUMBER(E208),E208*1,E208)))</f>
        <v>2501.16</v>
      </c>
      <c r="F9" s="9">
        <f>IF(F208="","",IF(样本池!$E$6="原币",F208,IF(ISNUMBER(F208),F208*1,F208)))</f>
        <v>17.47</v>
      </c>
      <c r="G9" s="9">
        <f>IF(G208="","",IF(样本池!$E$6="原币",G208,IF(ISNUMBER(G208),G208*1,G208)))</f>
        <v>838.17</v>
      </c>
      <c r="H9" s="9">
        <f>IF(H208="","",IF(样本池!$E$6="原币",H208,IF(ISNUMBER(H208),H208*1,H208)))</f>
        <v>1157.01</v>
      </c>
      <c r="I9" s="9" t="str">
        <f>IF(I208="","",IF(样本池!$E$6="原币",I208,IF(ISNUMBER(I208),I208*1,I208)))</f>
        <v/>
      </c>
      <c r="J9" s="9" t="str">
        <f>IF(J208="","",IF(样本池!$E$6="原币",J208,IF(ISNUMBER(J208),J208*1,J208)))</f>
        <v/>
      </c>
      <c r="K9" s="9">
        <f>IF(K208="","",IF(样本池!$E$6="原币",K208,IF(ISNUMBER(K208),K208*1,K208)))</f>
        <v>54.57</v>
      </c>
      <c r="L9" s="9" t="str">
        <f>IF(L208="","",IF(样本池!$E$6="原币",L208,IF(ISNUMBER(L208),L208*1,L208)))</f>
        <v/>
      </c>
    </row>
    <row r="10" spans="1:12" ht="16.5" x14ac:dyDescent="0.35">
      <c r="A10" s="8" t="s">
        <v>250</v>
      </c>
      <c r="B10" s="8" t="s">
        <v>258</v>
      </c>
      <c r="C10" s="9">
        <f>IF(C209="","",IF(样本池!$E$6="原币",C209,IF(ISNUMBER(C209),C209*1,C209)))</f>
        <v>7035.01</v>
      </c>
      <c r="D10" s="9">
        <f>IF(D209="","",IF(样本池!$E$6="原币",D209,IF(ISNUMBER(D209),D209*1,D209)))</f>
        <v>1695.53</v>
      </c>
      <c r="E10" s="9">
        <f>IF(E209="","",IF(样本池!$E$6="原币",E209,IF(ISNUMBER(E209),E209*1,E209)))</f>
        <v>11188.23</v>
      </c>
      <c r="F10" s="9">
        <f>IF(F209="","",IF(样本池!$E$6="原币",F209,IF(ISNUMBER(F209),F209*1,F209)))</f>
        <v>7744.53</v>
      </c>
      <c r="G10" s="9">
        <f>IF(G209="","",IF(样本池!$E$6="原币",G209,IF(ISNUMBER(G209),G209*1,G209)))</f>
        <v>11800.08</v>
      </c>
      <c r="H10" s="9">
        <f>IF(H209="","",IF(样本池!$E$6="原币",H209,IF(ISNUMBER(H209),H209*1,H209)))</f>
        <v>9858.06</v>
      </c>
      <c r="I10" s="9">
        <f>IF(I209="","",IF(样本池!$E$6="原币",I209,IF(ISNUMBER(I209),I209*1,I209)))</f>
        <v>5662</v>
      </c>
      <c r="J10" s="9">
        <f>IF(J209="","",IF(样本池!$E$6="原币",J209,IF(ISNUMBER(J209),J209*1,J209)))</f>
        <v>3954.41</v>
      </c>
      <c r="K10" s="9">
        <f>IF(K209="","",IF(样本池!$E$6="原币",K209,IF(ISNUMBER(K209),K209*1,K209)))</f>
        <v>15202.93</v>
      </c>
      <c r="L10" s="9">
        <f>IF(L209="","",IF(样本池!$E$6="原币",L209,IF(ISNUMBER(L209),L209*1,L209)))</f>
        <v>10272.99</v>
      </c>
    </row>
    <row r="11" spans="1:12" ht="16.5" x14ac:dyDescent="0.35">
      <c r="A11" s="8" t="s">
        <v>250</v>
      </c>
      <c r="B11" s="8" t="s">
        <v>259</v>
      </c>
      <c r="C11" s="9">
        <f>IF(C210="","",IF(样本池!$E$6="原币",C210,IF(ISNUMBER(C210),C210*1,C210)))</f>
        <v>14183.33</v>
      </c>
      <c r="D11" s="9">
        <f>IF(D210="","",IF(样本池!$E$6="原币",D210,IF(ISNUMBER(D210),D210*1,D210)))</f>
        <v>12661.22</v>
      </c>
      <c r="E11" s="9">
        <f>IF(E210="","",IF(样本池!$E$6="原币",E210,IF(ISNUMBER(E210),E210*1,E210)))</f>
        <v>8464.32</v>
      </c>
      <c r="F11" s="9">
        <f>IF(F210="","",IF(样本池!$E$6="原币",F210,IF(ISNUMBER(F210),F210*1,F210)))</f>
        <v>9102.9599999999991</v>
      </c>
      <c r="G11" s="9">
        <f>IF(G210="","",IF(样本池!$E$6="原币",G210,IF(ISNUMBER(G210),G210*1,G210)))</f>
        <v>8722.15</v>
      </c>
      <c r="H11" s="9">
        <f>IF(H210="","",IF(样本池!$E$6="原币",H210,IF(ISNUMBER(H210),H210*1,H210)))</f>
        <v>11339.22</v>
      </c>
      <c r="I11" s="9">
        <f>IF(I210="","",IF(样本池!$E$6="原币",I210,IF(ISNUMBER(I210),I210*1,I210)))</f>
        <v>28032.77</v>
      </c>
      <c r="J11" s="9">
        <f>IF(J210="","",IF(样本池!$E$6="原币",J210,IF(ISNUMBER(J210),J210*1,J210)))</f>
        <v>30775.52</v>
      </c>
      <c r="K11" s="9">
        <f>IF(K210="","",IF(样本池!$E$6="原币",K210,IF(ISNUMBER(K210),K210*1,K210)))</f>
        <v>27056.36</v>
      </c>
      <c r="L11" s="9">
        <f>IF(L210="","",IF(样本池!$E$6="原币",L210,IF(ISNUMBER(L210),L210*1,L210)))</f>
        <v>18731.13</v>
      </c>
    </row>
    <row r="12" spans="1:12" ht="16.5" x14ac:dyDescent="0.35">
      <c r="A12" s="8" t="s">
        <v>250</v>
      </c>
      <c r="B12" s="8" t="s">
        <v>260</v>
      </c>
      <c r="C12" s="9" t="str">
        <f>IF(C211="","",IF(样本池!$E$6="原币",C211,IF(ISNUMBER(C211),C211*1,C211)))</f>
        <v/>
      </c>
      <c r="D12" s="9" t="str">
        <f>IF(D211="","",IF(样本池!$E$6="原币",D211,IF(ISNUMBER(D211),D211*1,D211)))</f>
        <v/>
      </c>
      <c r="E12" s="9" t="str">
        <f>IF(E211="","",IF(样本池!$E$6="原币",E211,IF(ISNUMBER(E211),E211*1,E211)))</f>
        <v/>
      </c>
      <c r="F12" s="9" t="str">
        <f>IF(F211="","",IF(样本池!$E$6="原币",F211,IF(ISNUMBER(F211),F211*1,F211)))</f>
        <v/>
      </c>
      <c r="G12" s="9" t="str">
        <f>IF(G211="","",IF(样本池!$E$6="原币",G211,IF(ISNUMBER(G211),G211*1,G211)))</f>
        <v/>
      </c>
      <c r="H12" s="9" t="str">
        <f>IF(H211="","",IF(样本池!$E$6="原币",H211,IF(ISNUMBER(H211),H211*1,H211)))</f>
        <v/>
      </c>
      <c r="I12" s="9" t="str">
        <f>IF(I211="","",IF(样本池!$E$6="原币",I211,IF(ISNUMBER(I211),I211*1,I211)))</f>
        <v/>
      </c>
      <c r="J12" s="9" t="str">
        <f>IF(J211="","",IF(样本池!$E$6="原币",J211,IF(ISNUMBER(J211),J211*1,J211)))</f>
        <v/>
      </c>
      <c r="K12" s="9" t="str">
        <f>IF(K211="","",IF(样本池!$E$6="原币",K211,IF(ISNUMBER(K211),K211*1,K211)))</f>
        <v/>
      </c>
      <c r="L12" s="9" t="str">
        <f>IF(L211="","",IF(样本池!$E$6="原币",L211,IF(ISNUMBER(L211),L211*1,L211)))</f>
        <v/>
      </c>
    </row>
    <row r="13" spans="1:12" ht="16.5" x14ac:dyDescent="0.35">
      <c r="A13" s="8" t="s">
        <v>250</v>
      </c>
      <c r="B13" s="8" t="s">
        <v>261</v>
      </c>
      <c r="C13" s="9" t="str">
        <f>IF(C212="","",IF(样本池!$E$6="原币",C212,IF(ISNUMBER(C212),C212*1,C212)))</f>
        <v/>
      </c>
      <c r="D13" s="9" t="str">
        <f>IF(D212="","",IF(样本池!$E$6="原币",D212,IF(ISNUMBER(D212),D212*1,D212)))</f>
        <v/>
      </c>
      <c r="E13" s="9" t="str">
        <f>IF(E212="","",IF(样本池!$E$6="原币",E212,IF(ISNUMBER(E212),E212*1,E212)))</f>
        <v/>
      </c>
      <c r="F13" s="9" t="str">
        <f>IF(F212="","",IF(样本池!$E$6="原币",F212,IF(ISNUMBER(F212),F212*1,F212)))</f>
        <v/>
      </c>
      <c r="G13" s="9" t="str">
        <f>IF(G212="","",IF(样本池!$E$6="原币",G212,IF(ISNUMBER(G212),G212*1,G212)))</f>
        <v/>
      </c>
      <c r="H13" s="9" t="str">
        <f>IF(H212="","",IF(样本池!$E$6="原币",H212,IF(ISNUMBER(H212),H212*1,H212)))</f>
        <v/>
      </c>
      <c r="I13" s="9" t="str">
        <f>IF(I212="","",IF(样本池!$E$6="原币",I212,IF(ISNUMBER(I212),I212*1,I212)))</f>
        <v/>
      </c>
      <c r="J13" s="9" t="str">
        <f>IF(J212="","",IF(样本池!$E$6="原币",J212,IF(ISNUMBER(J212),J212*1,J212)))</f>
        <v/>
      </c>
      <c r="K13" s="9" t="str">
        <f>IF(K212="","",IF(样本池!$E$6="原币",K212,IF(ISNUMBER(K212),K212*1,K212)))</f>
        <v/>
      </c>
      <c r="L13" s="9">
        <f>IF(L212="","",IF(样本池!$E$6="原币",L212,IF(ISNUMBER(L212),L212*1,L212)))</f>
        <v>3281.11</v>
      </c>
    </row>
    <row r="14" spans="1:12" ht="16.5" x14ac:dyDescent="0.35">
      <c r="A14" s="8" t="s">
        <v>250</v>
      </c>
      <c r="B14" s="8" t="s">
        <v>262</v>
      </c>
      <c r="C14" s="9" t="str">
        <f>IF(C213="","",IF(样本池!$E$6="原币",C213,IF(ISNUMBER(C213),C213*1,C213)))</f>
        <v/>
      </c>
      <c r="D14" s="9">
        <f>IF(D213="","",IF(样本池!$E$6="原币",D213,IF(ISNUMBER(D213),D213*1,D213)))</f>
        <v>12661.22</v>
      </c>
      <c r="E14" s="9" t="str">
        <f>IF(E213="","",IF(样本池!$E$6="原币",E213,IF(ISNUMBER(E213),E213*1,E213)))</f>
        <v/>
      </c>
      <c r="F14" s="9">
        <f>IF(F213="","",IF(样本池!$E$6="原币",F213,IF(ISNUMBER(F213),F213*1,F213)))</f>
        <v>9102.9599999999991</v>
      </c>
      <c r="G14" s="9" t="str">
        <f>IF(G213="","",IF(样本池!$E$6="原币",G213,IF(ISNUMBER(G213),G213*1,G213)))</f>
        <v/>
      </c>
      <c r="H14" s="9">
        <f>IF(H213="","",IF(样本池!$E$6="原币",H213,IF(ISNUMBER(H213),H213*1,H213)))</f>
        <v>11339.22</v>
      </c>
      <c r="I14" s="9" t="str">
        <f>IF(I213="","",IF(样本池!$E$6="原币",I213,IF(ISNUMBER(I213),I213*1,I213)))</f>
        <v/>
      </c>
      <c r="J14" s="9">
        <f>IF(J213="","",IF(样本池!$E$6="原币",J213,IF(ISNUMBER(J213),J213*1,J213)))</f>
        <v>30775.52</v>
      </c>
      <c r="K14" s="9" t="str">
        <f>IF(K213="","",IF(样本池!$E$6="原币",K213,IF(ISNUMBER(K213),K213*1,K213)))</f>
        <v/>
      </c>
      <c r="L14" s="9">
        <f>IF(L213="","",IF(样本池!$E$6="原币",L213,IF(ISNUMBER(L213),L213*1,L213)))</f>
        <v>15450.02</v>
      </c>
    </row>
    <row r="15" spans="1:12" ht="16.5" x14ac:dyDescent="0.35">
      <c r="A15" s="8" t="s">
        <v>250</v>
      </c>
      <c r="B15" s="8" t="s">
        <v>263</v>
      </c>
      <c r="C15" s="9" t="str">
        <f>IF(C214="","",IF(样本池!$E$6="原币",C214,IF(ISNUMBER(C214),C214*1,C214)))</f>
        <v/>
      </c>
      <c r="D15" s="9" t="str">
        <f>IF(D214="","",IF(样本池!$E$6="原币",D214,IF(ISNUMBER(D214),D214*1,D214)))</f>
        <v/>
      </c>
      <c r="E15" s="9" t="str">
        <f>IF(E214="","",IF(样本池!$E$6="原币",E214,IF(ISNUMBER(E214),E214*1,E214)))</f>
        <v/>
      </c>
      <c r="F15" s="9" t="str">
        <f>IF(F214="","",IF(样本池!$E$6="原币",F214,IF(ISNUMBER(F214),F214*1,F214)))</f>
        <v/>
      </c>
      <c r="G15" s="9" t="str">
        <f>IF(G214="","",IF(样本池!$E$6="原币",G214,IF(ISNUMBER(G214),G214*1,G214)))</f>
        <v/>
      </c>
      <c r="H15" s="9" t="str">
        <f>IF(H214="","",IF(样本池!$E$6="原币",H214,IF(ISNUMBER(H214),H214*1,H214)))</f>
        <v/>
      </c>
      <c r="I15" s="9" t="str">
        <f>IF(I214="","",IF(样本池!$E$6="原币",I214,IF(ISNUMBER(I214),I214*1,I214)))</f>
        <v/>
      </c>
      <c r="J15" s="9" t="str">
        <f>IF(J214="","",IF(样本池!$E$6="原币",J214,IF(ISNUMBER(J214),J214*1,J214)))</f>
        <v/>
      </c>
      <c r="K15" s="9" t="str">
        <f>IF(K214="","",IF(样本池!$E$6="原币",K214,IF(ISNUMBER(K214),K214*1,K214)))</f>
        <v/>
      </c>
      <c r="L15" s="9" t="str">
        <f>IF(L214="","",IF(样本池!$E$6="原币",L214,IF(ISNUMBER(L214),L214*1,L214)))</f>
        <v/>
      </c>
    </row>
    <row r="16" spans="1:12" ht="16.5" x14ac:dyDescent="0.35">
      <c r="A16" s="8" t="s">
        <v>250</v>
      </c>
      <c r="B16" s="8" t="s">
        <v>264</v>
      </c>
      <c r="C16" s="9">
        <f>IF(C215="","",IF(样本池!$E$6="原币",C215,IF(ISNUMBER(C215),C215*1,C215)))</f>
        <v>499711.9</v>
      </c>
      <c r="D16" s="9">
        <f>IF(D215="","",IF(样本池!$E$6="原币",D215,IF(ISNUMBER(D215),D215*1,D215)))</f>
        <v>323355.42</v>
      </c>
      <c r="E16" s="9">
        <f>IF(E215="","",IF(样本池!$E$6="原币",E215,IF(ISNUMBER(E215),E215*1,E215)))</f>
        <v>178122.52</v>
      </c>
      <c r="F16" s="9">
        <f>IF(F215="","",IF(样本池!$E$6="原币",F215,IF(ISNUMBER(F215),F215*1,F215)))</f>
        <v>164394.93</v>
      </c>
      <c r="G16" s="9">
        <f>IF(G215="","",IF(样本池!$E$6="原币",G215,IF(ISNUMBER(G215),G215*1,G215)))</f>
        <v>88044.23</v>
      </c>
      <c r="H16" s="9">
        <f>IF(H215="","",IF(样本池!$E$6="原币",H215,IF(ISNUMBER(H215),H215*1,H215)))</f>
        <v>89669.22</v>
      </c>
      <c r="I16" s="9">
        <f>IF(I215="","",IF(样本池!$E$6="原币",I215,IF(ISNUMBER(I215),I215*1,I215)))</f>
        <v>127738.28</v>
      </c>
      <c r="J16" s="9">
        <f>IF(J215="","",IF(样本池!$E$6="原币",J215,IF(ISNUMBER(J215),J215*1,J215)))</f>
        <v>132358.22</v>
      </c>
      <c r="K16" s="9">
        <f>IF(K215="","",IF(样本池!$E$6="原币",K215,IF(ISNUMBER(K215),K215*1,K215)))</f>
        <v>226767.37</v>
      </c>
      <c r="L16" s="9">
        <f>IF(L215="","",IF(样本池!$E$6="原币",L215,IF(ISNUMBER(L215),L215*1,L215)))</f>
        <v>221133.73</v>
      </c>
    </row>
    <row r="17" spans="1:12" ht="16.5" x14ac:dyDescent="0.35">
      <c r="A17" s="8" t="s">
        <v>250</v>
      </c>
      <c r="B17" s="8" t="s">
        <v>265</v>
      </c>
      <c r="C17" s="9" t="str">
        <f>IF(C216="","",IF(样本池!$E$6="原币",C216,IF(ISNUMBER(C216),C216*1,C216)))</f>
        <v/>
      </c>
      <c r="D17" s="9" t="str">
        <f>IF(D216="","",IF(样本池!$E$6="原币",D216,IF(ISNUMBER(D216),D216*1,D216)))</f>
        <v/>
      </c>
      <c r="E17" s="9" t="str">
        <f>IF(E216="","",IF(样本池!$E$6="原币",E216,IF(ISNUMBER(E216),E216*1,E216)))</f>
        <v/>
      </c>
      <c r="F17" s="9" t="str">
        <f>IF(F216="","",IF(样本池!$E$6="原币",F216,IF(ISNUMBER(F216),F216*1,F216)))</f>
        <v/>
      </c>
      <c r="G17" s="9" t="str">
        <f>IF(G216="","",IF(样本池!$E$6="原币",G216,IF(ISNUMBER(G216),G216*1,G216)))</f>
        <v/>
      </c>
      <c r="H17" s="9" t="str">
        <f>IF(H216="","",IF(样本池!$E$6="原币",H216,IF(ISNUMBER(H216),H216*1,H216)))</f>
        <v/>
      </c>
      <c r="I17" s="9" t="str">
        <f>IF(I216="","",IF(样本池!$E$6="原币",I216,IF(ISNUMBER(I216),I216*1,I216)))</f>
        <v/>
      </c>
      <c r="J17" s="9" t="str">
        <f>IF(J216="","",IF(样本池!$E$6="原币",J216,IF(ISNUMBER(J216),J216*1,J216)))</f>
        <v/>
      </c>
      <c r="K17" s="9" t="str">
        <f>IF(K216="","",IF(样本池!$E$6="原币",K216,IF(ISNUMBER(K216),K216*1,K216)))</f>
        <v/>
      </c>
      <c r="L17" s="9" t="str">
        <f>IF(L216="","",IF(样本池!$E$6="原币",L216,IF(ISNUMBER(L216),L216*1,L216)))</f>
        <v/>
      </c>
    </row>
    <row r="18" spans="1:12" ht="16.5" x14ac:dyDescent="0.35">
      <c r="A18" s="8" t="s">
        <v>250</v>
      </c>
      <c r="B18" s="8" t="s">
        <v>266</v>
      </c>
      <c r="C18" s="9" t="str">
        <f>IF(C217="","",IF(样本池!$E$6="原币",C217,IF(ISNUMBER(C217),C217*1,C217)))</f>
        <v/>
      </c>
      <c r="D18" s="9" t="str">
        <f>IF(D217="","",IF(样本池!$E$6="原币",D217,IF(ISNUMBER(D217),D217*1,D217)))</f>
        <v/>
      </c>
      <c r="E18" s="9" t="str">
        <f>IF(E217="","",IF(样本池!$E$6="原币",E217,IF(ISNUMBER(E217),E217*1,E217)))</f>
        <v/>
      </c>
      <c r="F18" s="9" t="str">
        <f>IF(F217="","",IF(样本池!$E$6="原币",F217,IF(ISNUMBER(F217),F217*1,F217)))</f>
        <v/>
      </c>
      <c r="G18" s="9" t="str">
        <f>IF(G217="","",IF(样本池!$E$6="原币",G217,IF(ISNUMBER(G217),G217*1,G217)))</f>
        <v/>
      </c>
      <c r="H18" s="9" t="str">
        <f>IF(H217="","",IF(样本池!$E$6="原币",H217,IF(ISNUMBER(H217),H217*1,H217)))</f>
        <v/>
      </c>
      <c r="I18" s="9">
        <f>IF(I217="","",IF(样本池!$E$6="原币",I217,IF(ISNUMBER(I217),I217*1,I217)))</f>
        <v>106993.82</v>
      </c>
      <c r="J18" s="9">
        <f>IF(J217="","",IF(样本池!$E$6="原币",J217,IF(ISNUMBER(J217),J217*1,J217)))</f>
        <v>28131.34</v>
      </c>
      <c r="K18" s="9">
        <f>IF(K217="","",IF(样本池!$E$6="原币",K217,IF(ISNUMBER(K217),K217*1,K217)))</f>
        <v>14604.63</v>
      </c>
      <c r="L18" s="9" t="str">
        <f>IF(L217="","",IF(样本池!$E$6="原币",L217,IF(ISNUMBER(L217),L217*1,L217)))</f>
        <v/>
      </c>
    </row>
    <row r="19" spans="1:12" ht="16.5" x14ac:dyDescent="0.35">
      <c r="A19" s="8" t="s">
        <v>250</v>
      </c>
      <c r="B19" s="8" t="s">
        <v>267</v>
      </c>
      <c r="C19" s="9" t="str">
        <f>IF(C218="","",IF(样本池!$E$6="原币",C218,IF(ISNUMBER(C218),C218*1,C218)))</f>
        <v/>
      </c>
      <c r="D19" s="9" t="str">
        <f>IF(D218="","",IF(样本池!$E$6="原币",D218,IF(ISNUMBER(D218),D218*1,D218)))</f>
        <v/>
      </c>
      <c r="E19" s="9" t="str">
        <f>IF(E218="","",IF(样本池!$E$6="原币",E218,IF(ISNUMBER(E218),E218*1,E218)))</f>
        <v/>
      </c>
      <c r="F19" s="9" t="str">
        <f>IF(F218="","",IF(样本池!$E$6="原币",F218,IF(ISNUMBER(F218),F218*1,F218)))</f>
        <v/>
      </c>
      <c r="G19" s="9" t="str">
        <f>IF(G218="","",IF(样本池!$E$6="原币",G218,IF(ISNUMBER(G218),G218*1,G218)))</f>
        <v/>
      </c>
      <c r="H19" s="9" t="str">
        <f>IF(H218="","",IF(样本池!$E$6="原币",H218,IF(ISNUMBER(H218),H218*1,H218)))</f>
        <v/>
      </c>
      <c r="I19" s="9" t="str">
        <f>IF(I218="","",IF(样本池!$E$6="原币",I218,IF(ISNUMBER(I218),I218*1,I218)))</f>
        <v/>
      </c>
      <c r="J19" s="9" t="str">
        <f>IF(J218="","",IF(样本池!$E$6="原币",J218,IF(ISNUMBER(J218),J218*1,J218)))</f>
        <v/>
      </c>
      <c r="K19" s="9" t="str">
        <f>IF(K218="","",IF(样本池!$E$6="原币",K218,IF(ISNUMBER(K218),K218*1,K218)))</f>
        <v/>
      </c>
      <c r="L19" s="9" t="str">
        <f>IF(L218="","",IF(样本池!$E$6="原币",L218,IF(ISNUMBER(L218),L218*1,L218)))</f>
        <v/>
      </c>
    </row>
    <row r="20" spans="1:12" ht="16.5" x14ac:dyDescent="0.35">
      <c r="A20" s="8" t="s">
        <v>250</v>
      </c>
      <c r="B20" s="8" t="s">
        <v>268</v>
      </c>
      <c r="C20" s="9" t="str">
        <f>IF(C219="","",IF(样本池!$E$6="原币",C219,IF(ISNUMBER(C219),C219*1,C219)))</f>
        <v/>
      </c>
      <c r="D20" s="9" t="str">
        <f>IF(D219="","",IF(样本池!$E$6="原币",D219,IF(ISNUMBER(D219),D219*1,D219)))</f>
        <v/>
      </c>
      <c r="E20" s="9" t="str">
        <f>IF(E219="","",IF(样本池!$E$6="原币",E219,IF(ISNUMBER(E219),E219*1,E219)))</f>
        <v/>
      </c>
      <c r="F20" s="9" t="str">
        <f>IF(F219="","",IF(样本池!$E$6="原币",F219,IF(ISNUMBER(F219),F219*1,F219)))</f>
        <v/>
      </c>
      <c r="G20" s="9" t="str">
        <f>IF(G219="","",IF(样本池!$E$6="原币",G219,IF(ISNUMBER(G219),G219*1,G219)))</f>
        <v/>
      </c>
      <c r="H20" s="9" t="str">
        <f>IF(H219="","",IF(样本池!$E$6="原币",H219,IF(ISNUMBER(H219),H219*1,H219)))</f>
        <v/>
      </c>
      <c r="I20" s="9" t="str">
        <f>IF(I219="","",IF(样本池!$E$6="原币",I219,IF(ISNUMBER(I219),I219*1,I219)))</f>
        <v/>
      </c>
      <c r="J20" s="9" t="str">
        <f>IF(J219="","",IF(样本池!$E$6="原币",J219,IF(ISNUMBER(J219),J219*1,J219)))</f>
        <v/>
      </c>
      <c r="K20" s="9" t="str">
        <f>IF(K219="","",IF(样本池!$E$6="原币",K219,IF(ISNUMBER(K219),K219*1,K219)))</f>
        <v/>
      </c>
      <c r="L20" s="9" t="str">
        <f>IF(L219="","",IF(样本池!$E$6="原币",L219,IF(ISNUMBER(L219),L219*1,L219)))</f>
        <v/>
      </c>
    </row>
    <row r="21" spans="1:12" ht="16.5" x14ac:dyDescent="0.35">
      <c r="A21" s="8" t="s">
        <v>250</v>
      </c>
      <c r="B21" s="8" t="s">
        <v>269</v>
      </c>
      <c r="C21" s="9">
        <f>IF(C220="","",IF(样本池!$E$6="原币",C220,IF(ISNUMBER(C220),C220*1,C220)))</f>
        <v>274940.98</v>
      </c>
      <c r="D21" s="9">
        <f>IF(D220="","",IF(样本池!$E$6="原币",D220,IF(ISNUMBER(D220),D220*1,D220)))</f>
        <v>247193.61</v>
      </c>
      <c r="E21" s="9">
        <f>IF(E220="","",IF(样本池!$E$6="原币",E220,IF(ISNUMBER(E220),E220*1,E220)))</f>
        <v>6651.62</v>
      </c>
      <c r="F21" s="9">
        <f>IF(F220="","",IF(样本池!$E$6="原币",F220,IF(ISNUMBER(F220),F220*1,F220)))</f>
        <v>4583.13</v>
      </c>
      <c r="G21" s="9">
        <f>IF(G220="","",IF(样本池!$E$6="原币",G220,IF(ISNUMBER(G220),G220*1,G220)))</f>
        <v>27208.28</v>
      </c>
      <c r="H21" s="9">
        <f>IF(H220="","",IF(样本池!$E$6="原币",H220,IF(ISNUMBER(H220),H220*1,H220)))</f>
        <v>30567.31</v>
      </c>
      <c r="I21" s="9">
        <f>IF(I220="","",IF(样本池!$E$6="原币",I220,IF(ISNUMBER(I220),I220*1,I220)))</f>
        <v>34396.01</v>
      </c>
      <c r="J21" s="9">
        <f>IF(J220="","",IF(样本池!$E$6="原币",J220,IF(ISNUMBER(J220),J220*1,J220)))</f>
        <v>29072.31</v>
      </c>
      <c r="K21" s="9">
        <f>IF(K220="","",IF(样本池!$E$6="原币",K220,IF(ISNUMBER(K220),K220*1,K220)))</f>
        <v>46355.5</v>
      </c>
      <c r="L21" s="9">
        <f>IF(L220="","",IF(样本池!$E$6="原币",L220,IF(ISNUMBER(L220),L220*1,L220)))</f>
        <v>22868.46</v>
      </c>
    </row>
    <row r="22" spans="1:12" ht="16.5" x14ac:dyDescent="0.35">
      <c r="A22" s="8" t="s">
        <v>250</v>
      </c>
      <c r="B22" s="8" t="s">
        <v>270</v>
      </c>
      <c r="C22" s="9">
        <f>IF(C221="","",IF(样本池!$E$6="原币",C221,IF(ISNUMBER(C221),C221*1,C221)))</f>
        <v>1608652.66</v>
      </c>
      <c r="D22" s="9">
        <f>IF(D221="","",IF(样本池!$E$6="原币",D221,IF(ISNUMBER(D221),D221*1,D221)))</f>
        <v>1236754.93</v>
      </c>
      <c r="E22" s="9">
        <f>IF(E221="","",IF(样本池!$E$6="原币",E221,IF(ISNUMBER(E221),E221*1,E221)))</f>
        <v>461595.83</v>
      </c>
      <c r="F22" s="9">
        <f>IF(F221="","",IF(样本池!$E$6="原币",F221,IF(ISNUMBER(F221),F221*1,F221)))</f>
        <v>442288.03</v>
      </c>
      <c r="G22" s="9">
        <f>IF(G221="","",IF(样本池!$E$6="原币",G221,IF(ISNUMBER(G221),G221*1,G221)))</f>
        <v>464651.51</v>
      </c>
      <c r="H22" s="9">
        <f>IF(H221="","",IF(样本池!$E$6="原币",H221,IF(ISNUMBER(H221),H221*1,H221)))</f>
        <v>488325.45</v>
      </c>
      <c r="I22" s="9">
        <f>IF(I221="","",IF(样本池!$E$6="原币",I221,IF(ISNUMBER(I221),I221*1,I221)))</f>
        <v>502546.57</v>
      </c>
      <c r="J22" s="9">
        <f>IF(J221="","",IF(样本池!$E$6="原币",J221,IF(ISNUMBER(J221),J221*1,J221)))</f>
        <v>360299.45</v>
      </c>
      <c r="K22" s="9">
        <f>IF(K221="","",IF(样本池!$E$6="原币",K221,IF(ISNUMBER(K221),K221*1,K221)))</f>
        <v>909965.05</v>
      </c>
      <c r="L22" s="9">
        <f>IF(L221="","",IF(样本池!$E$6="原币",L221,IF(ISNUMBER(L221),L221*1,L221)))</f>
        <v>741849.04</v>
      </c>
    </row>
    <row r="23" spans="1:12" ht="16.5" x14ac:dyDescent="0.35">
      <c r="A23" s="8" t="s">
        <v>271</v>
      </c>
      <c r="B23" s="8" t="s">
        <v>272</v>
      </c>
      <c r="C23" s="9" t="str">
        <f>IF(C222="","",IF(样本池!$E$6="原币",C222,IF(ISNUMBER(C222),C222*1,C222)))</f>
        <v/>
      </c>
      <c r="D23" s="9" t="str">
        <f>IF(D222="","",IF(样本池!$E$6="原币",D222,IF(ISNUMBER(D222),D222*1,D222)))</f>
        <v/>
      </c>
      <c r="E23" s="9" t="str">
        <f>IF(E222="","",IF(样本池!$E$6="原币",E222,IF(ISNUMBER(E222),E222*1,E222)))</f>
        <v/>
      </c>
      <c r="F23" s="9" t="str">
        <f>IF(F222="","",IF(样本池!$E$6="原币",F222,IF(ISNUMBER(F222),F222*1,F222)))</f>
        <v/>
      </c>
      <c r="G23" s="9" t="str">
        <f>IF(G222="","",IF(样本池!$E$6="原币",G222,IF(ISNUMBER(G222),G222*1,G222)))</f>
        <v/>
      </c>
      <c r="H23" s="9" t="str">
        <f>IF(H222="","",IF(样本池!$E$6="原币",H222,IF(ISNUMBER(H222),H222*1,H222)))</f>
        <v/>
      </c>
      <c r="I23" s="9" t="str">
        <f>IF(I222="","",IF(样本池!$E$6="原币",I222,IF(ISNUMBER(I222),I222*1,I222)))</f>
        <v/>
      </c>
      <c r="J23" s="9" t="str">
        <f>IF(J222="","",IF(样本池!$E$6="原币",J222,IF(ISNUMBER(J222),J222*1,J222)))</f>
        <v/>
      </c>
      <c r="K23" s="9" t="str">
        <f>IF(K222="","",IF(样本池!$E$6="原币",K222,IF(ISNUMBER(K222),K222*1,K222)))</f>
        <v/>
      </c>
      <c r="L23" s="9" t="str">
        <f>IF(L222="","",IF(样本池!$E$6="原币",L222,IF(ISNUMBER(L222),L222*1,L222)))</f>
        <v/>
      </c>
    </row>
    <row r="24" spans="1:12" ht="16.5" x14ac:dyDescent="0.35">
      <c r="A24" s="8" t="s">
        <v>271</v>
      </c>
      <c r="B24" s="8" t="s">
        <v>273</v>
      </c>
      <c r="C24" s="9" t="str">
        <f>IF(C223="","",IF(样本池!$E$6="原币",C223,IF(ISNUMBER(C223),C223*1,C223)))</f>
        <v/>
      </c>
      <c r="D24" s="9" t="str">
        <f>IF(D223="","",IF(样本池!$E$6="原币",D223,IF(ISNUMBER(D223),D223*1,D223)))</f>
        <v/>
      </c>
      <c r="E24" s="9" t="str">
        <f>IF(E223="","",IF(样本池!$E$6="原币",E223,IF(ISNUMBER(E223),E223*1,E223)))</f>
        <v/>
      </c>
      <c r="F24" s="9" t="str">
        <f>IF(F223="","",IF(样本池!$E$6="原币",F223,IF(ISNUMBER(F223),F223*1,F223)))</f>
        <v/>
      </c>
      <c r="G24" s="9" t="str">
        <f>IF(G223="","",IF(样本池!$E$6="原币",G223,IF(ISNUMBER(G223),G223*1,G223)))</f>
        <v/>
      </c>
      <c r="H24" s="9" t="str">
        <f>IF(H223="","",IF(样本池!$E$6="原币",H223,IF(ISNUMBER(H223),H223*1,H223)))</f>
        <v/>
      </c>
      <c r="I24" s="9" t="str">
        <f>IF(I223="","",IF(样本池!$E$6="原币",I223,IF(ISNUMBER(I223),I223*1,I223)))</f>
        <v/>
      </c>
      <c r="J24" s="9" t="str">
        <f>IF(J223="","",IF(样本池!$E$6="原币",J223,IF(ISNUMBER(J223),J223*1,J223)))</f>
        <v/>
      </c>
      <c r="K24" s="9" t="str">
        <f>IF(K223="","",IF(样本池!$E$6="原币",K223,IF(ISNUMBER(K223),K223*1,K223)))</f>
        <v/>
      </c>
      <c r="L24" s="9" t="str">
        <f>IF(L223="","",IF(样本池!$E$6="原币",L223,IF(ISNUMBER(L223),L223*1,L223)))</f>
        <v/>
      </c>
    </row>
    <row r="25" spans="1:12" ht="16.5" x14ac:dyDescent="0.35">
      <c r="A25" s="8" t="s">
        <v>271</v>
      </c>
      <c r="B25" s="8" t="s">
        <v>274</v>
      </c>
      <c r="C25" s="9" t="str">
        <f>IF(C224="","",IF(样本池!$E$6="原币",C224,IF(ISNUMBER(C224),C224*1,C224)))</f>
        <v/>
      </c>
      <c r="D25" s="9" t="str">
        <f>IF(D224="","",IF(样本池!$E$6="原币",D224,IF(ISNUMBER(D224),D224*1,D224)))</f>
        <v/>
      </c>
      <c r="E25" s="9" t="str">
        <f>IF(E224="","",IF(样本池!$E$6="原币",E224,IF(ISNUMBER(E224),E224*1,E224)))</f>
        <v/>
      </c>
      <c r="F25" s="9" t="str">
        <f>IF(F224="","",IF(样本池!$E$6="原币",F224,IF(ISNUMBER(F224),F224*1,F224)))</f>
        <v/>
      </c>
      <c r="G25" s="9" t="str">
        <f>IF(G224="","",IF(样本池!$E$6="原币",G224,IF(ISNUMBER(G224),G224*1,G224)))</f>
        <v/>
      </c>
      <c r="H25" s="9" t="str">
        <f>IF(H224="","",IF(样本池!$E$6="原币",H224,IF(ISNUMBER(H224),H224*1,H224)))</f>
        <v/>
      </c>
      <c r="I25" s="9">
        <f>IF(I224="","",IF(样本池!$E$6="原币",I224,IF(ISNUMBER(I224),I224*1,I224)))</f>
        <v>42373.9</v>
      </c>
      <c r="J25" s="9">
        <f>IF(J224="","",IF(样本池!$E$6="原币",J224,IF(ISNUMBER(J224),J224*1,J224)))</f>
        <v>160414.76</v>
      </c>
      <c r="K25" s="9" t="str">
        <f>IF(K224="","",IF(样本池!$E$6="原币",K224,IF(ISNUMBER(K224),K224*1,K224)))</f>
        <v/>
      </c>
      <c r="L25" s="9" t="str">
        <f>IF(L224="","",IF(样本池!$E$6="原币",L224,IF(ISNUMBER(L224),L224*1,L224)))</f>
        <v/>
      </c>
    </row>
    <row r="26" spans="1:12" ht="16.5" x14ac:dyDescent="0.35">
      <c r="A26" s="8" t="s">
        <v>271</v>
      </c>
      <c r="B26" s="8" t="s">
        <v>275</v>
      </c>
      <c r="C26" s="9" t="str">
        <f>IF(C225="","",IF(样本池!$E$6="原币",C225,IF(ISNUMBER(C225),C225*1,C225)))</f>
        <v/>
      </c>
      <c r="D26" s="9" t="str">
        <f>IF(D225="","",IF(样本池!$E$6="原币",D225,IF(ISNUMBER(D225),D225*1,D225)))</f>
        <v/>
      </c>
      <c r="E26" s="9" t="str">
        <f>IF(E225="","",IF(样本池!$E$6="原币",E225,IF(ISNUMBER(E225),E225*1,E225)))</f>
        <v/>
      </c>
      <c r="F26" s="9" t="str">
        <f>IF(F225="","",IF(样本池!$E$6="原币",F225,IF(ISNUMBER(F225),F225*1,F225)))</f>
        <v/>
      </c>
      <c r="G26" s="9">
        <f>IF(G225="","",IF(样本池!$E$6="原币",G225,IF(ISNUMBER(G225),G225*1,G225)))</f>
        <v>337.56</v>
      </c>
      <c r="H26" s="9">
        <f>IF(H225="","",IF(样本池!$E$6="原币",H225,IF(ISNUMBER(H225),H225*1,H225)))</f>
        <v>951.21</v>
      </c>
      <c r="I26" s="9">
        <f>IF(I225="","",IF(样本池!$E$6="原币",I225,IF(ISNUMBER(I225),I225*1,I225)))</f>
        <v>11859.62</v>
      </c>
      <c r="J26" s="9" t="str">
        <f>IF(J225="","",IF(样本池!$E$6="原币",J225,IF(ISNUMBER(J225),J225*1,J225)))</f>
        <v/>
      </c>
      <c r="K26" s="9" t="str">
        <f>IF(K225="","",IF(样本池!$E$6="原币",K225,IF(ISNUMBER(K225),K225*1,K225)))</f>
        <v/>
      </c>
      <c r="L26" s="9" t="str">
        <f>IF(L225="","",IF(样本池!$E$6="原币",L225,IF(ISNUMBER(L225),L225*1,L225)))</f>
        <v/>
      </c>
    </row>
    <row r="27" spans="1:12" ht="16.5" x14ac:dyDescent="0.35">
      <c r="A27" s="8" t="s">
        <v>271</v>
      </c>
      <c r="B27" s="8" t="s">
        <v>276</v>
      </c>
      <c r="C27" s="9">
        <f>IF(C226="","",IF(样本池!$E$6="原币",C226,IF(ISNUMBER(C226),C226*1,C226)))</f>
        <v>58196.959999999999</v>
      </c>
      <c r="D27" s="9">
        <f>IF(D226="","",IF(样本池!$E$6="原币",D226,IF(ISNUMBER(D226),D226*1,D226)))</f>
        <v>52543.53</v>
      </c>
      <c r="E27" s="9">
        <f>IF(E226="","",IF(样本池!$E$6="原币",E226,IF(ISNUMBER(E226),E226*1,E226)))</f>
        <v>6070.81</v>
      </c>
      <c r="F27" s="9">
        <f>IF(F226="","",IF(样本池!$E$6="原币",F226,IF(ISNUMBER(F226),F226*1,F226)))</f>
        <v>5645.74</v>
      </c>
      <c r="G27" s="9">
        <f>IF(G226="","",IF(样本池!$E$6="原币",G226,IF(ISNUMBER(G226),G226*1,G226)))</f>
        <v>23411.119999999999</v>
      </c>
      <c r="H27" s="9">
        <f>IF(H226="","",IF(样本池!$E$6="原币",H226,IF(ISNUMBER(H226),H226*1,H226)))</f>
        <v>25190.84</v>
      </c>
      <c r="I27" s="9">
        <f>IF(I226="","",IF(样本池!$E$6="原币",I226,IF(ISNUMBER(I226),I226*1,I226)))</f>
        <v>7186.18</v>
      </c>
      <c r="J27" s="9" t="str">
        <f>IF(J226="","",IF(样本池!$E$6="原币",J226,IF(ISNUMBER(J226),J226*1,J226)))</f>
        <v/>
      </c>
      <c r="K27" s="9">
        <f>IF(K226="","",IF(样本池!$E$6="原币",K226,IF(ISNUMBER(K226),K226*1,K226)))</f>
        <v>4588.62</v>
      </c>
      <c r="L27" s="9">
        <f>IF(L226="","",IF(样本池!$E$6="原币",L226,IF(ISNUMBER(L226),L226*1,L226)))</f>
        <v>4260.1099999999997</v>
      </c>
    </row>
    <row r="28" spans="1:12" ht="16.5" x14ac:dyDescent="0.35">
      <c r="A28" s="8" t="s">
        <v>271</v>
      </c>
      <c r="B28" s="8" t="s">
        <v>277</v>
      </c>
      <c r="C28" s="9">
        <f>IF(C227="","",IF(样本池!$E$6="原币",C227,IF(ISNUMBER(C227),C227*1,C227)))</f>
        <v>1068.9100000000001</v>
      </c>
      <c r="D28" s="9">
        <f>IF(D227="","",IF(样本池!$E$6="原币",D227,IF(ISNUMBER(D227),D227*1,D227)))</f>
        <v>1158.6099999999999</v>
      </c>
      <c r="E28" s="9">
        <f>IF(E227="","",IF(样本池!$E$6="原币",E227,IF(ISNUMBER(E227),E227*1,E227)))</f>
        <v>1503.85</v>
      </c>
      <c r="F28" s="9">
        <f>IF(F227="","",IF(样本池!$E$6="原币",F227,IF(ISNUMBER(F227),F227*1,F227)))</f>
        <v>2869.02</v>
      </c>
      <c r="G28" s="9" t="str">
        <f>IF(G227="","",IF(样本池!$E$6="原币",G227,IF(ISNUMBER(G227),G227*1,G227)))</f>
        <v/>
      </c>
      <c r="H28" s="9" t="str">
        <f>IF(H227="","",IF(样本池!$E$6="原币",H227,IF(ISNUMBER(H227),H227*1,H227)))</f>
        <v/>
      </c>
      <c r="I28" s="9" t="str">
        <f>IF(I227="","",IF(样本池!$E$6="原币",I227,IF(ISNUMBER(I227),I227*1,I227)))</f>
        <v/>
      </c>
      <c r="J28" s="9" t="str">
        <f>IF(J227="","",IF(样本池!$E$6="原币",J227,IF(ISNUMBER(J227),J227*1,J227)))</f>
        <v/>
      </c>
      <c r="K28" s="9">
        <f>IF(K227="","",IF(样本池!$E$6="原币",K227,IF(ISNUMBER(K227),K227*1,K227)))</f>
        <v>70262.86</v>
      </c>
      <c r="L28" s="9">
        <f>IF(L227="","",IF(样本池!$E$6="原币",L227,IF(ISNUMBER(L227),L227*1,L227)))</f>
        <v>72721.73</v>
      </c>
    </row>
    <row r="29" spans="1:12" ht="16.5" x14ac:dyDescent="0.35">
      <c r="A29" s="8" t="s">
        <v>271</v>
      </c>
      <c r="B29" s="8" t="s">
        <v>278</v>
      </c>
      <c r="C29" s="9">
        <f>IF(C228="","",IF(样本池!$E$6="原币",C228,IF(ISNUMBER(C228),C228*1,C228)))</f>
        <v>530.38</v>
      </c>
      <c r="D29" s="9">
        <f>IF(D228="","",IF(样本池!$E$6="原币",D228,IF(ISNUMBER(D228),D228*1,D228)))</f>
        <v>149276.17000000001</v>
      </c>
      <c r="E29" s="9">
        <f>IF(E228="","",IF(样本池!$E$6="原币",E228,IF(ISNUMBER(E228),E228*1,E228)))</f>
        <v>20648.53</v>
      </c>
      <c r="F29" s="9">
        <f>IF(F228="","",IF(样本池!$E$6="原币",F228,IF(ISNUMBER(F228),F228*1,F228)))</f>
        <v>15337.47</v>
      </c>
      <c r="G29" s="9">
        <f>IF(G228="","",IF(样本池!$E$6="原币",G228,IF(ISNUMBER(G228),G228*1,G228)))</f>
        <v>24539.93</v>
      </c>
      <c r="H29" s="9">
        <f>IF(H228="","",IF(样本池!$E$6="原币",H228,IF(ISNUMBER(H228),H228*1,H228)))</f>
        <v>4702.55</v>
      </c>
      <c r="I29" s="9" t="str">
        <f>IF(I228="","",IF(样本池!$E$6="原币",I228,IF(ISNUMBER(I228),I228*1,I228)))</f>
        <v/>
      </c>
      <c r="J29" s="9">
        <f>IF(J228="","",IF(样本池!$E$6="原币",J228,IF(ISNUMBER(J228),J228*1,J228)))</f>
        <v>48.47</v>
      </c>
      <c r="K29" s="9">
        <f>IF(K228="","",IF(样本池!$E$6="原币",K228,IF(ISNUMBER(K228),K228*1,K228)))</f>
        <v>37224.769999999997</v>
      </c>
      <c r="L29" s="9">
        <f>IF(L228="","",IF(样本池!$E$6="原币",L228,IF(ISNUMBER(L228),L228*1,L228)))</f>
        <v>44242.15</v>
      </c>
    </row>
    <row r="30" spans="1:12" ht="16.5" x14ac:dyDescent="0.35">
      <c r="A30" s="8" t="s">
        <v>271</v>
      </c>
      <c r="B30" s="8" t="s">
        <v>279</v>
      </c>
      <c r="C30" s="9" t="str">
        <f>IF(C229="","",IF(样本池!$E$6="原币",C229,IF(ISNUMBER(C229),C229*1,C229)))</f>
        <v/>
      </c>
      <c r="D30" s="9">
        <f>IF(D229="","",IF(样本池!$E$6="原币",D229,IF(ISNUMBER(D229),D229*1,D229)))</f>
        <v>149276.17000000001</v>
      </c>
      <c r="E30" s="9" t="str">
        <f>IF(E229="","",IF(样本池!$E$6="原币",E229,IF(ISNUMBER(E229),E229*1,E229)))</f>
        <v/>
      </c>
      <c r="F30" s="9" t="str">
        <f>IF(F229="","",IF(样本池!$E$6="原币",F229,IF(ISNUMBER(F229),F229*1,F229)))</f>
        <v/>
      </c>
      <c r="G30" s="9" t="str">
        <f>IF(G229="","",IF(样本池!$E$6="原币",G229,IF(ISNUMBER(G229),G229*1,G229)))</f>
        <v/>
      </c>
      <c r="H30" s="9">
        <f>IF(H229="","",IF(样本池!$E$6="原币",H229,IF(ISNUMBER(H229),H229*1,H229)))</f>
        <v>4702.55</v>
      </c>
      <c r="I30" s="9" t="str">
        <f>IF(I229="","",IF(样本池!$E$6="原币",I229,IF(ISNUMBER(I229),I229*1,I229)))</f>
        <v/>
      </c>
      <c r="J30" s="9">
        <f>IF(J229="","",IF(样本池!$E$6="原币",J229,IF(ISNUMBER(J229),J229*1,J229)))</f>
        <v>48.47</v>
      </c>
      <c r="K30" s="9" t="str">
        <f>IF(K229="","",IF(样本池!$E$6="原币",K229,IF(ISNUMBER(K229),K229*1,K229)))</f>
        <v/>
      </c>
      <c r="L30" s="9">
        <f>IF(L229="","",IF(样本池!$E$6="原币",L229,IF(ISNUMBER(L229),L229*1,L229)))</f>
        <v>44242.15</v>
      </c>
    </row>
    <row r="31" spans="1:12" ht="16.5" x14ac:dyDescent="0.35">
      <c r="A31" s="8" t="s">
        <v>271</v>
      </c>
      <c r="B31" s="8" t="s">
        <v>280</v>
      </c>
      <c r="C31" s="9" t="str">
        <f>IF(C230="","",IF(样本池!$E$6="原币",C230,IF(ISNUMBER(C230),C230*1,C230)))</f>
        <v/>
      </c>
      <c r="D31" s="9" t="str">
        <f>IF(D230="","",IF(样本池!$E$6="原币",D230,IF(ISNUMBER(D230),D230*1,D230)))</f>
        <v/>
      </c>
      <c r="E31" s="9" t="str">
        <f>IF(E230="","",IF(样本池!$E$6="原币",E230,IF(ISNUMBER(E230),E230*1,E230)))</f>
        <v/>
      </c>
      <c r="F31" s="9" t="str">
        <f>IF(F230="","",IF(样本池!$E$6="原币",F230,IF(ISNUMBER(F230),F230*1,F230)))</f>
        <v/>
      </c>
      <c r="G31" s="9" t="str">
        <f>IF(G230="","",IF(样本池!$E$6="原币",G230,IF(ISNUMBER(G230),G230*1,G230)))</f>
        <v/>
      </c>
      <c r="H31" s="9" t="str">
        <f>IF(H230="","",IF(样本池!$E$6="原币",H230,IF(ISNUMBER(H230),H230*1,H230)))</f>
        <v/>
      </c>
      <c r="I31" s="9" t="str">
        <f>IF(I230="","",IF(样本池!$E$6="原币",I230,IF(ISNUMBER(I230),I230*1,I230)))</f>
        <v/>
      </c>
      <c r="J31" s="9" t="str">
        <f>IF(J230="","",IF(样本池!$E$6="原币",J230,IF(ISNUMBER(J230),J230*1,J230)))</f>
        <v/>
      </c>
      <c r="K31" s="9" t="str">
        <f>IF(K230="","",IF(样本池!$E$6="原币",K230,IF(ISNUMBER(K230),K230*1,K230)))</f>
        <v/>
      </c>
      <c r="L31" s="9" t="str">
        <f>IF(L230="","",IF(样本池!$E$6="原币",L230,IF(ISNUMBER(L230),L230*1,L230)))</f>
        <v/>
      </c>
    </row>
    <row r="32" spans="1:12" ht="16.5" x14ac:dyDescent="0.35">
      <c r="A32" s="8" t="s">
        <v>271</v>
      </c>
      <c r="B32" s="8" t="s">
        <v>281</v>
      </c>
      <c r="C32" s="9">
        <f>IF(C231="","",IF(样本池!$E$6="原币",C231,IF(ISNUMBER(C231),C231*1,C231)))</f>
        <v>178407.84</v>
      </c>
      <c r="D32" s="9">
        <f>IF(D231="","",IF(样本池!$E$6="原币",D231,IF(ISNUMBER(D231),D231*1,D231)))</f>
        <v>12731.6</v>
      </c>
      <c r="E32" s="9">
        <f>IF(E231="","",IF(样本池!$E$6="原币",E231,IF(ISNUMBER(E231),E231*1,E231)))</f>
        <v>222729.73</v>
      </c>
      <c r="F32" s="9">
        <f>IF(F231="","",IF(样本池!$E$6="原币",F231,IF(ISNUMBER(F231),F231*1,F231)))</f>
        <v>226184.03</v>
      </c>
      <c r="G32" s="9">
        <f>IF(G231="","",IF(样本池!$E$6="原币",G231,IF(ISNUMBER(G231),G231*1,G231)))</f>
        <v>216435.27</v>
      </c>
      <c r="H32" s="9">
        <f>IF(H231="","",IF(样本池!$E$6="原币",H231,IF(ISNUMBER(H231),H231*1,H231)))</f>
        <v>220743.28</v>
      </c>
      <c r="I32" s="9">
        <f>IF(I231="","",IF(样本池!$E$6="原币",I231,IF(ISNUMBER(I231),I231*1,I231)))</f>
        <v>5661.51</v>
      </c>
      <c r="J32" s="9">
        <f>IF(J231="","",IF(样本池!$E$6="原币",J231,IF(ISNUMBER(J231),J231*1,J231)))</f>
        <v>5809.42</v>
      </c>
      <c r="K32" s="9">
        <f>IF(K231="","",IF(样本池!$E$6="原币",K231,IF(ISNUMBER(K231),K231*1,K231)))</f>
        <v>582565.05000000005</v>
      </c>
      <c r="L32" s="9">
        <f>IF(L231="","",IF(样本池!$E$6="原币",L231,IF(ISNUMBER(L231),L231*1,L231)))</f>
        <v>594741.96</v>
      </c>
    </row>
    <row r="33" spans="1:12" ht="16.5" x14ac:dyDescent="0.35">
      <c r="A33" s="8" t="s">
        <v>271</v>
      </c>
      <c r="B33" s="8" t="s">
        <v>282</v>
      </c>
      <c r="C33" s="9">
        <f>IF(C232="","",IF(样本池!$E$6="原币",C232,IF(ISNUMBER(C232),C232*1,C232)))</f>
        <v>178407.84</v>
      </c>
      <c r="D33" s="9">
        <f>IF(D232="","",IF(样本池!$E$6="原币",D232,IF(ISNUMBER(D232),D232*1,D232)))</f>
        <v>12731.6</v>
      </c>
      <c r="E33" s="9">
        <f>IF(E232="","",IF(样本池!$E$6="原币",E232,IF(ISNUMBER(E232),E232*1,E232)))</f>
        <v>222729.73</v>
      </c>
      <c r="F33" s="9">
        <f>IF(F232="","",IF(样本池!$E$6="原币",F232,IF(ISNUMBER(F232),F232*1,F232)))</f>
        <v>226184.03</v>
      </c>
      <c r="G33" s="9">
        <f>IF(G232="","",IF(样本池!$E$6="原币",G232,IF(ISNUMBER(G232),G232*1,G232)))</f>
        <v>216392.74</v>
      </c>
      <c r="H33" s="9">
        <f>IF(H232="","",IF(样本池!$E$6="原币",H232,IF(ISNUMBER(H232),H232*1,H232)))</f>
        <v>220717.26</v>
      </c>
      <c r="I33" s="9">
        <f>IF(I232="","",IF(样本池!$E$6="原币",I232,IF(ISNUMBER(I232),I232*1,I232)))</f>
        <v>5661.51</v>
      </c>
      <c r="J33" s="9">
        <f>IF(J232="","",IF(样本池!$E$6="原币",J232,IF(ISNUMBER(J232),J232*1,J232)))</f>
        <v>5809.42</v>
      </c>
      <c r="K33" s="9">
        <f>IF(K232="","",IF(样本池!$E$6="原币",K232,IF(ISNUMBER(K232),K232*1,K232)))</f>
        <v>582565.05000000005</v>
      </c>
      <c r="L33" s="9">
        <f>IF(L232="","",IF(样本池!$E$6="原币",L232,IF(ISNUMBER(L232),L232*1,L232)))</f>
        <v>594741.96</v>
      </c>
    </row>
    <row r="34" spans="1:12" ht="16.5" x14ac:dyDescent="0.35">
      <c r="A34" s="8" t="s">
        <v>271</v>
      </c>
      <c r="B34" s="8" t="s">
        <v>283</v>
      </c>
      <c r="C34" s="9" t="str">
        <f>IF(C233="","",IF(样本池!$E$6="原币",C233,IF(ISNUMBER(C233),C233*1,C233)))</f>
        <v/>
      </c>
      <c r="D34" s="9" t="str">
        <f>IF(D233="","",IF(样本池!$E$6="原币",D233,IF(ISNUMBER(D233),D233*1,D233)))</f>
        <v/>
      </c>
      <c r="E34" s="9" t="str">
        <f>IF(E233="","",IF(样本池!$E$6="原币",E233,IF(ISNUMBER(E233),E233*1,E233)))</f>
        <v/>
      </c>
      <c r="F34" s="9" t="str">
        <f>IF(F233="","",IF(样本池!$E$6="原币",F233,IF(ISNUMBER(F233),F233*1,F233)))</f>
        <v/>
      </c>
      <c r="G34" s="9" t="str">
        <f>IF(G233="","",IF(样本池!$E$6="原币",G233,IF(ISNUMBER(G233),G233*1,G233)))</f>
        <v/>
      </c>
      <c r="H34" s="9">
        <f>IF(H233="","",IF(样本池!$E$6="原币",H233,IF(ISNUMBER(H233),H233*1,H233)))</f>
        <v>26.03</v>
      </c>
      <c r="I34" s="9" t="str">
        <f>IF(I233="","",IF(样本池!$E$6="原币",I233,IF(ISNUMBER(I233),I233*1,I233)))</f>
        <v/>
      </c>
      <c r="J34" s="9" t="str">
        <f>IF(J233="","",IF(样本池!$E$6="原币",J233,IF(ISNUMBER(J233),J233*1,J233)))</f>
        <v/>
      </c>
      <c r="K34" s="9" t="str">
        <f>IF(K233="","",IF(样本池!$E$6="原币",K233,IF(ISNUMBER(K233),K233*1,K233)))</f>
        <v/>
      </c>
      <c r="L34" s="9" t="str">
        <f>IF(L233="","",IF(样本池!$E$6="原币",L233,IF(ISNUMBER(L233),L233*1,L233)))</f>
        <v/>
      </c>
    </row>
    <row r="35" spans="1:12" ht="16.5" x14ac:dyDescent="0.35">
      <c r="A35" s="8" t="s">
        <v>271</v>
      </c>
      <c r="B35" s="8" t="s">
        <v>284</v>
      </c>
      <c r="C35" s="9" t="str">
        <f>IF(C234="","",IF(样本池!$E$6="原币",C234,IF(ISNUMBER(C234),C234*1,C234)))</f>
        <v/>
      </c>
      <c r="D35" s="9" t="str">
        <f>IF(D234="","",IF(样本池!$E$6="原币",D234,IF(ISNUMBER(D234),D234*1,D234)))</f>
        <v/>
      </c>
      <c r="E35" s="9" t="str">
        <f>IF(E234="","",IF(样本池!$E$6="原币",E234,IF(ISNUMBER(E234),E234*1,E234)))</f>
        <v/>
      </c>
      <c r="F35" s="9" t="str">
        <f>IF(F234="","",IF(样本池!$E$6="原币",F234,IF(ISNUMBER(F234),F234*1,F234)))</f>
        <v/>
      </c>
      <c r="G35" s="9" t="str">
        <f>IF(G234="","",IF(样本池!$E$6="原币",G234,IF(ISNUMBER(G234),G234*1,G234)))</f>
        <v/>
      </c>
      <c r="H35" s="9" t="str">
        <f>IF(H234="","",IF(样本池!$E$6="原币",H234,IF(ISNUMBER(H234),H234*1,H234)))</f>
        <v/>
      </c>
      <c r="I35" s="9" t="str">
        <f>IF(I234="","",IF(样本池!$E$6="原币",I234,IF(ISNUMBER(I234),I234*1,I234)))</f>
        <v/>
      </c>
      <c r="J35" s="9" t="str">
        <f>IF(J234="","",IF(样本池!$E$6="原币",J234,IF(ISNUMBER(J234),J234*1,J234)))</f>
        <v/>
      </c>
      <c r="K35" s="9" t="str">
        <f>IF(K234="","",IF(样本池!$E$6="原币",K234,IF(ISNUMBER(K234),K234*1,K234)))</f>
        <v/>
      </c>
      <c r="L35" s="9" t="str">
        <f>IF(L234="","",IF(样本池!$E$6="原币",L234,IF(ISNUMBER(L234),L234*1,L234)))</f>
        <v/>
      </c>
    </row>
    <row r="36" spans="1:12" ht="16.5" x14ac:dyDescent="0.35">
      <c r="A36" s="8" t="s">
        <v>271</v>
      </c>
      <c r="B36" s="8" t="s">
        <v>285</v>
      </c>
      <c r="C36" s="9" t="str">
        <f>IF(C235="","",IF(样本池!$E$6="原币",C235,IF(ISNUMBER(C235),C235*1,C235)))</f>
        <v/>
      </c>
      <c r="D36" s="9" t="str">
        <f>IF(D235="","",IF(样本池!$E$6="原币",D235,IF(ISNUMBER(D235),D235*1,D235)))</f>
        <v/>
      </c>
      <c r="E36" s="9" t="str">
        <f>IF(E235="","",IF(样本池!$E$6="原币",E235,IF(ISNUMBER(E235),E235*1,E235)))</f>
        <v/>
      </c>
      <c r="F36" s="9" t="str">
        <f>IF(F235="","",IF(样本池!$E$6="原币",F235,IF(ISNUMBER(F235),F235*1,F235)))</f>
        <v/>
      </c>
      <c r="G36" s="9" t="str">
        <f>IF(G235="","",IF(样本池!$E$6="原币",G235,IF(ISNUMBER(G235),G235*1,G235)))</f>
        <v/>
      </c>
      <c r="H36" s="9" t="str">
        <f>IF(H235="","",IF(样本池!$E$6="原币",H235,IF(ISNUMBER(H235),H235*1,H235)))</f>
        <v/>
      </c>
      <c r="I36" s="9" t="str">
        <f>IF(I235="","",IF(样本池!$E$6="原币",I235,IF(ISNUMBER(I235),I235*1,I235)))</f>
        <v/>
      </c>
      <c r="J36" s="9" t="str">
        <f>IF(J235="","",IF(样本池!$E$6="原币",J235,IF(ISNUMBER(J235),J235*1,J235)))</f>
        <v/>
      </c>
      <c r="K36" s="9" t="str">
        <f>IF(K235="","",IF(样本池!$E$6="原币",K235,IF(ISNUMBER(K235),K235*1,K235)))</f>
        <v/>
      </c>
      <c r="L36" s="9" t="str">
        <f>IF(L235="","",IF(样本池!$E$6="原币",L235,IF(ISNUMBER(L235),L235*1,L235)))</f>
        <v/>
      </c>
    </row>
    <row r="37" spans="1:12" ht="16.5" x14ac:dyDescent="0.35">
      <c r="A37" s="8" t="s">
        <v>271</v>
      </c>
      <c r="B37" s="8" t="s">
        <v>286</v>
      </c>
      <c r="C37" s="9" t="str">
        <f>IF(C236="","",IF(样本池!$E$6="原币",C236,IF(ISNUMBER(C236),C236*1,C236)))</f>
        <v/>
      </c>
      <c r="D37" s="9" t="str">
        <f>IF(D236="","",IF(样本池!$E$6="原币",D236,IF(ISNUMBER(D236),D236*1,D236)))</f>
        <v/>
      </c>
      <c r="E37" s="9" t="str">
        <f>IF(E236="","",IF(样本池!$E$6="原币",E236,IF(ISNUMBER(E236),E236*1,E236)))</f>
        <v/>
      </c>
      <c r="F37" s="9" t="str">
        <f>IF(F236="","",IF(样本池!$E$6="原币",F236,IF(ISNUMBER(F236),F236*1,F236)))</f>
        <v/>
      </c>
      <c r="G37" s="9" t="str">
        <f>IF(G236="","",IF(样本池!$E$6="原币",G236,IF(ISNUMBER(G236),G236*1,G236)))</f>
        <v/>
      </c>
      <c r="H37" s="9" t="str">
        <f>IF(H236="","",IF(样本池!$E$6="原币",H236,IF(ISNUMBER(H236),H236*1,H236)))</f>
        <v/>
      </c>
      <c r="I37" s="9" t="str">
        <f>IF(I236="","",IF(样本池!$E$6="原币",I236,IF(ISNUMBER(I236),I236*1,I236)))</f>
        <v/>
      </c>
      <c r="J37" s="9" t="str">
        <f>IF(J236="","",IF(样本池!$E$6="原币",J236,IF(ISNUMBER(J236),J236*1,J236)))</f>
        <v/>
      </c>
      <c r="K37" s="9" t="str">
        <f>IF(K236="","",IF(样本池!$E$6="原币",K236,IF(ISNUMBER(K236),K236*1,K236)))</f>
        <v/>
      </c>
      <c r="L37" s="9" t="str">
        <f>IF(L236="","",IF(样本池!$E$6="原币",L236,IF(ISNUMBER(L236),L236*1,L236)))</f>
        <v/>
      </c>
    </row>
    <row r="38" spans="1:12" ht="16.5" x14ac:dyDescent="0.35">
      <c r="A38" s="8" t="s">
        <v>271</v>
      </c>
      <c r="B38" s="8" t="s">
        <v>287</v>
      </c>
      <c r="C38" s="9">
        <f>IF(C237="","",IF(样本池!$E$6="原币",C237,IF(ISNUMBER(C237),C237*1,C237)))</f>
        <v>32030.22</v>
      </c>
      <c r="D38" s="9">
        <f>IF(D237="","",IF(样本池!$E$6="原币",D237,IF(ISNUMBER(D237),D237*1,D237)))</f>
        <v>11627.48</v>
      </c>
      <c r="E38" s="9">
        <f>IF(E237="","",IF(样本池!$E$6="原币",E237,IF(ISNUMBER(E237),E237*1,E237)))</f>
        <v>133477.51</v>
      </c>
      <c r="F38" s="9">
        <f>IF(F237="","",IF(样本池!$E$6="原币",F237,IF(ISNUMBER(F237),F237*1,F237)))</f>
        <v>143966.70000000001</v>
      </c>
      <c r="G38" s="9">
        <f>IF(G237="","",IF(样本池!$E$6="原币",G237,IF(ISNUMBER(G237),G237*1,G237)))</f>
        <v>16094.69</v>
      </c>
      <c r="H38" s="9">
        <f>IF(H237="","",IF(样本池!$E$6="原币",H237,IF(ISNUMBER(H237),H237*1,H237)))</f>
        <v>23216.48</v>
      </c>
      <c r="I38" s="9">
        <f>IF(I237="","",IF(样本池!$E$6="原币",I237,IF(ISNUMBER(I237),I237*1,I237)))</f>
        <v>88526.080000000002</v>
      </c>
      <c r="J38" s="9">
        <f>IF(J237="","",IF(样本池!$E$6="原币",J237,IF(ISNUMBER(J237),J237*1,J237)))</f>
        <v>78728.06</v>
      </c>
      <c r="K38" s="9">
        <f>IF(K237="","",IF(样本池!$E$6="原币",K237,IF(ISNUMBER(K237),K237*1,K237)))</f>
        <v>32612.38</v>
      </c>
      <c r="L38" s="9">
        <f>IF(L237="","",IF(样本池!$E$6="原币",L237,IF(ISNUMBER(L237),L237*1,L237)))</f>
        <v>33787.93</v>
      </c>
    </row>
    <row r="39" spans="1:12" ht="16.5" x14ac:dyDescent="0.35">
      <c r="A39" s="8" t="s">
        <v>271</v>
      </c>
      <c r="B39" s="8" t="s">
        <v>288</v>
      </c>
      <c r="C39" s="9">
        <f>IF(C238="","",IF(样本池!$E$6="原币",C238,IF(ISNUMBER(C238),C238*1,C238)))</f>
        <v>5259.44</v>
      </c>
      <c r="D39" s="9">
        <f>IF(D238="","",IF(样本池!$E$6="原币",D238,IF(ISNUMBER(D238),D238*1,D238)))</f>
        <v>3722.44</v>
      </c>
      <c r="E39" s="9">
        <f>IF(E238="","",IF(样本池!$E$6="原币",E238,IF(ISNUMBER(E238),E238*1,E238)))</f>
        <v>18216.47</v>
      </c>
      <c r="F39" s="9">
        <f>IF(F238="","",IF(样本池!$E$6="原币",F238,IF(ISNUMBER(F238),F238*1,F238)))</f>
        <v>18943.45</v>
      </c>
      <c r="G39" s="9">
        <f>IF(G238="","",IF(样本池!$E$6="原币",G238,IF(ISNUMBER(G238),G238*1,G238)))</f>
        <v>33762.559999999998</v>
      </c>
      <c r="H39" s="9">
        <f>IF(H238="","",IF(样本池!$E$6="原币",H238,IF(ISNUMBER(H238),H238*1,H238)))</f>
        <v>32822.800000000003</v>
      </c>
      <c r="I39" s="9">
        <f>IF(I238="","",IF(样本池!$E$6="原币",I238,IF(ISNUMBER(I238),I238*1,I238)))</f>
        <v>1539.58</v>
      </c>
      <c r="J39" s="9">
        <f>IF(J238="","",IF(样本池!$E$6="原币",J238,IF(ISNUMBER(J238),J238*1,J238)))</f>
        <v>1245.5999999999999</v>
      </c>
      <c r="K39" s="9">
        <f>IF(K238="","",IF(样本池!$E$6="原币",K238,IF(ISNUMBER(K238),K238*1,K238)))</f>
        <v>101206.19</v>
      </c>
      <c r="L39" s="9">
        <f>IF(L238="","",IF(样本池!$E$6="原币",L238,IF(ISNUMBER(L238),L238*1,L238)))</f>
        <v>94184.99</v>
      </c>
    </row>
    <row r="40" spans="1:12" ht="16.5" x14ac:dyDescent="0.35">
      <c r="A40" s="8" t="s">
        <v>271</v>
      </c>
      <c r="B40" s="8" t="s">
        <v>289</v>
      </c>
      <c r="C40" s="9" t="str">
        <f>IF(C239="","",IF(样本池!$E$6="原币",C239,IF(ISNUMBER(C239),C239*1,C239)))</f>
        <v/>
      </c>
      <c r="D40" s="9" t="str">
        <f>IF(D239="","",IF(样本池!$E$6="原币",D239,IF(ISNUMBER(D239),D239*1,D239)))</f>
        <v/>
      </c>
      <c r="E40" s="9" t="str">
        <f>IF(E239="","",IF(样本池!$E$6="原币",E239,IF(ISNUMBER(E239),E239*1,E239)))</f>
        <v/>
      </c>
      <c r="F40" s="9" t="str">
        <f>IF(F239="","",IF(样本池!$E$6="原币",F239,IF(ISNUMBER(F239),F239*1,F239)))</f>
        <v/>
      </c>
      <c r="G40" s="9" t="str">
        <f>IF(G239="","",IF(样本池!$E$6="原币",G239,IF(ISNUMBER(G239),G239*1,G239)))</f>
        <v/>
      </c>
      <c r="H40" s="9" t="str">
        <f>IF(H239="","",IF(样本池!$E$6="原币",H239,IF(ISNUMBER(H239),H239*1,H239)))</f>
        <v/>
      </c>
      <c r="I40" s="9" t="str">
        <f>IF(I239="","",IF(样本池!$E$6="原币",I239,IF(ISNUMBER(I239),I239*1,I239)))</f>
        <v/>
      </c>
      <c r="J40" s="9" t="str">
        <f>IF(J239="","",IF(样本池!$E$6="原币",J239,IF(ISNUMBER(J239),J239*1,J239)))</f>
        <v/>
      </c>
      <c r="K40" s="9" t="str">
        <f>IF(K239="","",IF(样本池!$E$6="原币",K239,IF(ISNUMBER(K239),K239*1,K239)))</f>
        <v/>
      </c>
      <c r="L40" s="9" t="str">
        <f>IF(L239="","",IF(样本池!$E$6="原币",L239,IF(ISNUMBER(L239),L239*1,L239)))</f>
        <v/>
      </c>
    </row>
    <row r="41" spans="1:12" ht="16.5" x14ac:dyDescent="0.35">
      <c r="A41" s="8" t="s">
        <v>271</v>
      </c>
      <c r="B41" s="8" t="s">
        <v>290</v>
      </c>
      <c r="C41" s="9" t="str">
        <f>IF(C240="","",IF(样本池!$E$6="原币",C240,IF(ISNUMBER(C240),C240*1,C240)))</f>
        <v/>
      </c>
      <c r="D41" s="9" t="str">
        <f>IF(D240="","",IF(样本池!$E$6="原币",D240,IF(ISNUMBER(D240),D240*1,D240)))</f>
        <v/>
      </c>
      <c r="E41" s="9">
        <f>IF(E240="","",IF(样本池!$E$6="原币",E240,IF(ISNUMBER(E240),E240*1,E240)))</f>
        <v>20987.97</v>
      </c>
      <c r="F41" s="9">
        <f>IF(F240="","",IF(样本池!$E$6="原币",F240,IF(ISNUMBER(F240),F240*1,F240)))</f>
        <v>24458.5</v>
      </c>
      <c r="G41" s="9">
        <f>IF(G240="","",IF(样本池!$E$6="原币",G240,IF(ISNUMBER(G240),G240*1,G240)))</f>
        <v>16963.13</v>
      </c>
      <c r="H41" s="9">
        <f>IF(H240="","",IF(样本池!$E$6="原币",H240,IF(ISNUMBER(H240),H240*1,H240)))</f>
        <v>19512.09</v>
      </c>
      <c r="I41" s="9" t="str">
        <f>IF(I240="","",IF(样本池!$E$6="原币",I240,IF(ISNUMBER(I240),I240*1,I240)))</f>
        <v/>
      </c>
      <c r="J41" s="9" t="str">
        <f>IF(J240="","",IF(样本池!$E$6="原币",J240,IF(ISNUMBER(J240),J240*1,J240)))</f>
        <v/>
      </c>
      <c r="K41" s="9">
        <f>IF(K240="","",IF(样本池!$E$6="原币",K240,IF(ISNUMBER(K240),K240*1,K240)))</f>
        <v>36271.629999999997</v>
      </c>
      <c r="L41" s="9">
        <f>IF(L240="","",IF(样本池!$E$6="原币",L240,IF(ISNUMBER(L240),L240*1,L240)))</f>
        <v>27481.85</v>
      </c>
    </row>
    <row r="42" spans="1:12" ht="16.5" x14ac:dyDescent="0.35">
      <c r="A42" s="8" t="s">
        <v>271</v>
      </c>
      <c r="B42" s="8" t="s">
        <v>291</v>
      </c>
      <c r="C42" s="9">
        <f>IF(C241="","",IF(样本池!$E$6="原币",C241,IF(ISNUMBER(C241),C241*1,C241)))</f>
        <v>7031.13</v>
      </c>
      <c r="D42" s="9">
        <f>IF(D241="","",IF(样本池!$E$6="原币",D241,IF(ISNUMBER(D241),D241*1,D241)))</f>
        <v>2891.42</v>
      </c>
      <c r="E42" s="9">
        <f>IF(E241="","",IF(样本池!$E$6="原币",E241,IF(ISNUMBER(E241),E241*1,E241)))</f>
        <v>39493.42</v>
      </c>
      <c r="F42" s="9">
        <f>IF(F241="","",IF(样本池!$E$6="原币",F241,IF(ISNUMBER(F241),F241*1,F241)))</f>
        <v>42217.49</v>
      </c>
      <c r="G42" s="9">
        <f>IF(G241="","",IF(样本池!$E$6="原币",G241,IF(ISNUMBER(G241),G241*1,G241)))</f>
        <v>32455.65</v>
      </c>
      <c r="H42" s="9">
        <f>IF(H241="","",IF(样本池!$E$6="原币",H241,IF(ISNUMBER(H241),H241*1,H241)))</f>
        <v>36754.03</v>
      </c>
      <c r="I42" s="9">
        <f>IF(I241="","",IF(样本池!$E$6="原币",I241,IF(ISNUMBER(I241),I241*1,I241)))</f>
        <v>720.36</v>
      </c>
      <c r="J42" s="9">
        <f>IF(J241="","",IF(样本池!$E$6="原币",J241,IF(ISNUMBER(J241),J241*1,J241)))</f>
        <v>1030.23</v>
      </c>
      <c r="K42" s="9">
        <f>IF(K241="","",IF(样本池!$E$6="原币",K241,IF(ISNUMBER(K241),K241*1,K241)))</f>
        <v>5264.19</v>
      </c>
      <c r="L42" s="9">
        <f>IF(L241="","",IF(样本池!$E$6="原币",L241,IF(ISNUMBER(L241),L241*1,L241)))</f>
        <v>7429</v>
      </c>
    </row>
    <row r="43" spans="1:12" ht="16.5" x14ac:dyDescent="0.35">
      <c r="A43" s="8" t="s">
        <v>271</v>
      </c>
      <c r="B43" s="8" t="s">
        <v>292</v>
      </c>
      <c r="C43" s="9">
        <f>IF(C242="","",IF(样本池!$E$6="原币",C242,IF(ISNUMBER(C242),C242*1,C242)))</f>
        <v>44010.7</v>
      </c>
      <c r="D43" s="9">
        <f>IF(D242="","",IF(样本池!$E$6="原币",D242,IF(ISNUMBER(D242),D242*1,D242)))</f>
        <v>54385.760000000002</v>
      </c>
      <c r="E43" s="9">
        <f>IF(E242="","",IF(样本池!$E$6="原币",E242,IF(ISNUMBER(E242),E242*1,E242)))</f>
        <v>31090.720000000001</v>
      </c>
      <c r="F43" s="9">
        <f>IF(F242="","",IF(样本池!$E$6="原币",F242,IF(ISNUMBER(F242),F242*1,F242)))</f>
        <v>29498.47</v>
      </c>
      <c r="G43" s="9">
        <f>IF(G242="","",IF(样本池!$E$6="原币",G242,IF(ISNUMBER(G242),G242*1,G242)))</f>
        <v>24520.7</v>
      </c>
      <c r="H43" s="9">
        <f>IF(H242="","",IF(样本池!$E$6="原币",H242,IF(ISNUMBER(H242),H242*1,H242)))</f>
        <v>23323.73</v>
      </c>
      <c r="I43" s="9">
        <f>IF(I242="","",IF(样本池!$E$6="原币",I242,IF(ISNUMBER(I242),I242*1,I242)))</f>
        <v>7216.63</v>
      </c>
      <c r="J43" s="9">
        <f>IF(J242="","",IF(样本池!$E$6="原币",J242,IF(ISNUMBER(J242),J242*1,J242)))</f>
        <v>6729.03</v>
      </c>
      <c r="K43" s="9">
        <f>IF(K242="","",IF(样本池!$E$6="原币",K242,IF(ISNUMBER(K242),K242*1,K242)))</f>
        <v>48044.94</v>
      </c>
      <c r="L43" s="9">
        <f>IF(L242="","",IF(样本池!$E$6="原币",L242,IF(ISNUMBER(L242),L242*1,L242)))</f>
        <v>37974.44</v>
      </c>
    </row>
    <row r="44" spans="1:12" ht="16.5" x14ac:dyDescent="0.35">
      <c r="A44" s="8" t="s">
        <v>271</v>
      </c>
      <c r="B44" s="8" t="s">
        <v>293</v>
      </c>
      <c r="C44" s="9">
        <f>IF(C243="","",IF(样本池!$E$6="原币",C243,IF(ISNUMBER(C243),C243*1,C243)))</f>
        <v>11820.46</v>
      </c>
      <c r="D44" s="9">
        <f>IF(D243="","",IF(样本池!$E$6="原币",D243,IF(ISNUMBER(D243),D243*1,D243)))</f>
        <v>8246.07</v>
      </c>
      <c r="E44" s="9">
        <f>IF(E243="","",IF(样本池!$E$6="原币",E243,IF(ISNUMBER(E243),E243*1,E243)))</f>
        <v>2650.14</v>
      </c>
      <c r="F44" s="9">
        <f>IF(F243="","",IF(样本池!$E$6="原币",F243,IF(ISNUMBER(F243),F243*1,F243)))</f>
        <v>5430.93</v>
      </c>
      <c r="G44" s="9">
        <f>IF(G243="","",IF(样本池!$E$6="原币",G243,IF(ISNUMBER(G243),G243*1,G243)))</f>
        <v>9606.4599999999991</v>
      </c>
      <c r="H44" s="9">
        <f>IF(H243="","",IF(样本池!$E$6="原币",H243,IF(ISNUMBER(H243),H243*1,H243)))</f>
        <v>6767.03</v>
      </c>
      <c r="I44" s="9">
        <f>IF(I243="","",IF(样本池!$E$6="原币",I243,IF(ISNUMBER(I243),I243*1,I243)))</f>
        <v>12952.54</v>
      </c>
      <c r="J44" s="9">
        <f>IF(J243="","",IF(样本池!$E$6="原币",J243,IF(ISNUMBER(J243),J243*1,J243)))</f>
        <v>11371.71</v>
      </c>
      <c r="K44" s="9">
        <f>IF(K243="","",IF(样本池!$E$6="原币",K243,IF(ISNUMBER(K243),K243*1,K243)))</f>
        <v>68781.289999999994</v>
      </c>
      <c r="L44" s="9">
        <f>IF(L243="","",IF(样本池!$E$6="原币",L243,IF(ISNUMBER(L243),L243*1,L243)))</f>
        <v>76017.649999999994</v>
      </c>
    </row>
    <row r="45" spans="1:12" ht="16.5" x14ac:dyDescent="0.35">
      <c r="A45" s="8" t="s">
        <v>271</v>
      </c>
      <c r="B45" s="8" t="s">
        <v>294</v>
      </c>
      <c r="C45" s="9">
        <f>IF(C244="","",IF(样本池!$E$6="原币",C244,IF(ISNUMBER(C244),C244*1,C244)))</f>
        <v>398036.58</v>
      </c>
      <c r="D45" s="9">
        <f>IF(D244="","",IF(样本池!$E$6="原币",D244,IF(ISNUMBER(D244),D244*1,D244)))</f>
        <v>423615.79</v>
      </c>
      <c r="E45" s="9">
        <f>IF(E244="","",IF(样本池!$E$6="原币",E244,IF(ISNUMBER(E244),E244*1,E244)))</f>
        <v>501146.44</v>
      </c>
      <c r="F45" s="9">
        <f>IF(F244="","",IF(样本池!$E$6="原币",F244,IF(ISNUMBER(F244),F244*1,F244)))</f>
        <v>519988.92</v>
      </c>
      <c r="G45" s="9">
        <f>IF(G244="","",IF(样本池!$E$6="原币",G244,IF(ISNUMBER(G244),G244*1,G244)))</f>
        <v>400768.89</v>
      </c>
      <c r="H45" s="9">
        <f>IF(H244="","",IF(样本池!$E$6="原币",H244,IF(ISNUMBER(H244),H244*1,H244)))</f>
        <v>402152.74</v>
      </c>
      <c r="I45" s="9">
        <f>IF(I244="","",IF(样本池!$E$6="原币",I244,IF(ISNUMBER(I244),I244*1,I244)))</f>
        <v>179910.82</v>
      </c>
      <c r="J45" s="9">
        <f>IF(J244="","",IF(样本池!$E$6="原币",J244,IF(ISNUMBER(J244),J244*1,J244)))</f>
        <v>266877.27</v>
      </c>
      <c r="K45" s="9">
        <f>IF(K244="","",IF(样本池!$E$6="原币",K244,IF(ISNUMBER(K244),K244*1,K244)))</f>
        <v>993129.1</v>
      </c>
      <c r="L45" s="9">
        <f>IF(L244="","",IF(样本池!$E$6="原币",L244,IF(ISNUMBER(L244),L244*1,L244)))</f>
        <v>1007436.42</v>
      </c>
    </row>
    <row r="46" spans="1:12" ht="16.5" x14ac:dyDescent="0.35">
      <c r="A46" s="8" t="s">
        <v>271</v>
      </c>
      <c r="B46" s="8" t="s">
        <v>295</v>
      </c>
      <c r="C46" s="9">
        <f>IF(C245="","",IF(样本池!$E$6="原币",C245,IF(ISNUMBER(C245),C245*1,C245)))</f>
        <v>2006689.25</v>
      </c>
      <c r="D46" s="9">
        <f>IF(D245="","",IF(样本池!$E$6="原币",D245,IF(ISNUMBER(D245),D245*1,D245)))</f>
        <v>1660370.73</v>
      </c>
      <c r="E46" s="9">
        <f>IF(E245="","",IF(样本池!$E$6="原币",E245,IF(ISNUMBER(E245),E245*1,E245)))</f>
        <v>962742.27</v>
      </c>
      <c r="F46" s="9">
        <f>IF(F245="","",IF(样本池!$E$6="原币",F245,IF(ISNUMBER(F245),F245*1,F245)))</f>
        <v>962276.96</v>
      </c>
      <c r="G46" s="9">
        <f>IF(G245="","",IF(样本池!$E$6="原币",G245,IF(ISNUMBER(G245),G245*1,G245)))</f>
        <v>865420.4</v>
      </c>
      <c r="H46" s="9">
        <f>IF(H245="","",IF(样本池!$E$6="原币",H245,IF(ISNUMBER(H245),H245*1,H245)))</f>
        <v>890478.19</v>
      </c>
      <c r="I46" s="9">
        <f>IF(I245="","",IF(样本池!$E$6="原币",I245,IF(ISNUMBER(I245),I245*1,I245)))</f>
        <v>682457.39</v>
      </c>
      <c r="J46" s="9">
        <f>IF(J245="","",IF(样本池!$E$6="原币",J245,IF(ISNUMBER(J245),J245*1,J245)))</f>
        <v>627176.73</v>
      </c>
      <c r="K46" s="9">
        <f>IF(K245="","",IF(样本池!$E$6="原币",K245,IF(ISNUMBER(K245),K245*1,K245)))</f>
        <v>1903094.15</v>
      </c>
      <c r="L46" s="9">
        <f>IF(L245="","",IF(样本池!$E$6="原币",L245,IF(ISNUMBER(L245),L245*1,L245)))</f>
        <v>1749285.47</v>
      </c>
    </row>
    <row r="47" spans="1:12" ht="16.5" x14ac:dyDescent="0.35">
      <c r="A47" s="8" t="s">
        <v>296</v>
      </c>
      <c r="B47" s="8" t="s">
        <v>297</v>
      </c>
      <c r="C47" s="9">
        <f>IF(C246="","",IF(样本池!$E$6="原币",C246,IF(ISNUMBER(C246),C246*1,C246)))</f>
        <v>56731.83</v>
      </c>
      <c r="D47" s="9">
        <f>IF(D246="","",IF(样本池!$E$6="原币",D246,IF(ISNUMBER(D246),D246*1,D246)))</f>
        <v>45337.440000000002</v>
      </c>
      <c r="E47" s="9">
        <f>IF(E246="","",IF(样本池!$E$6="原币",E246,IF(ISNUMBER(E246),E246*1,E246)))</f>
        <v>183376.94</v>
      </c>
      <c r="F47" s="9">
        <f>IF(F246="","",IF(样本池!$E$6="原币",F246,IF(ISNUMBER(F246),F246*1,F246)))</f>
        <v>183373.93</v>
      </c>
      <c r="G47" s="9">
        <f>IF(G246="","",IF(样本池!$E$6="原币",G246,IF(ISNUMBER(G246),G246*1,G246)))</f>
        <v>112503.28</v>
      </c>
      <c r="H47" s="9">
        <f>IF(H246="","",IF(样本池!$E$6="原币",H246,IF(ISNUMBER(H246),H246*1,H246)))</f>
        <v>139138.18</v>
      </c>
      <c r="I47" s="9">
        <f>IF(I246="","",IF(样本池!$E$6="原币",I246,IF(ISNUMBER(I246),I246*1,I246)))</f>
        <v>129716.32</v>
      </c>
      <c r="J47" s="9">
        <f>IF(J246="","",IF(样本池!$E$6="原币",J246,IF(ISNUMBER(J246),J246*1,J246)))</f>
        <v>128409</v>
      </c>
      <c r="K47" s="9">
        <f>IF(K246="","",IF(样本池!$E$6="原币",K246,IF(ISNUMBER(K246),K246*1,K246)))</f>
        <v>55796.75</v>
      </c>
      <c r="L47" s="9">
        <f>IF(L246="","",IF(样本池!$E$6="原币",L246,IF(ISNUMBER(L246),L246*1,L246)))</f>
        <v>128544.78</v>
      </c>
    </row>
    <row r="48" spans="1:12" ht="16.5" x14ac:dyDescent="0.35">
      <c r="A48" s="8" t="s">
        <v>296</v>
      </c>
      <c r="B48" s="8" t="s">
        <v>298</v>
      </c>
      <c r="C48" s="9">
        <f>IF(C247="","",IF(样本池!$E$6="原币",C247,IF(ISNUMBER(C247),C247*1,C247)))</f>
        <v>1895.85</v>
      </c>
      <c r="D48" s="9">
        <f>IF(D247="","",IF(样本池!$E$6="原币",D247,IF(ISNUMBER(D247),D247*1,D247)))</f>
        <v>4190.38</v>
      </c>
      <c r="E48" s="9" t="str">
        <f>IF(E247="","",IF(样本池!$E$6="原币",E247,IF(ISNUMBER(E247),E247*1,E247)))</f>
        <v/>
      </c>
      <c r="F48" s="9">
        <f>IF(F247="","",IF(样本池!$E$6="原币",F247,IF(ISNUMBER(F247),F247*1,F247)))</f>
        <v>542.44000000000005</v>
      </c>
      <c r="G48" s="9" t="str">
        <f>IF(G247="","",IF(样本池!$E$6="原币",G247,IF(ISNUMBER(G247),G247*1,G247)))</f>
        <v/>
      </c>
      <c r="H48" s="9" t="str">
        <f>IF(H247="","",IF(样本池!$E$6="原币",H247,IF(ISNUMBER(H247),H247*1,H247)))</f>
        <v/>
      </c>
      <c r="I48" s="9" t="str">
        <f>IF(I247="","",IF(样本池!$E$6="原币",I247,IF(ISNUMBER(I247),I247*1,I247)))</f>
        <v/>
      </c>
      <c r="J48" s="9" t="str">
        <f>IF(J247="","",IF(样本池!$E$6="原币",J247,IF(ISNUMBER(J247),J247*1,J247)))</f>
        <v/>
      </c>
      <c r="K48" s="9" t="str">
        <f>IF(K247="","",IF(样本池!$E$6="原币",K247,IF(ISNUMBER(K247),K247*1,K247)))</f>
        <v/>
      </c>
      <c r="L48" s="9" t="str">
        <f>IF(L247="","",IF(样本池!$E$6="原币",L247,IF(ISNUMBER(L247),L247*1,L247)))</f>
        <v/>
      </c>
    </row>
    <row r="49" spans="1:12" ht="16.5" x14ac:dyDescent="0.35">
      <c r="A49" s="8" t="s">
        <v>296</v>
      </c>
      <c r="B49" s="8" t="s">
        <v>299</v>
      </c>
      <c r="C49" s="9">
        <f>IF(C248="","",IF(样本池!$E$6="原币",C248,IF(ISNUMBER(C248),C248*1,C248)))</f>
        <v>231336.18</v>
      </c>
      <c r="D49" s="9">
        <f>IF(D248="","",IF(样本池!$E$6="原币",D248,IF(ISNUMBER(D248),D248*1,D248)))</f>
        <v>224590.09</v>
      </c>
      <c r="E49" s="9">
        <f>IF(E248="","",IF(样本池!$E$6="原币",E248,IF(ISNUMBER(E248),E248*1,E248)))</f>
        <v>172803.56</v>
      </c>
      <c r="F49" s="9">
        <f>IF(F248="","",IF(样本池!$E$6="原币",F248,IF(ISNUMBER(F248),F248*1,F248)))</f>
        <v>163055.9</v>
      </c>
      <c r="G49" s="9">
        <f>IF(G248="","",IF(样本池!$E$6="原币",G248,IF(ISNUMBER(G248),G248*1,G248)))</f>
        <v>214409.35</v>
      </c>
      <c r="H49" s="9">
        <f>IF(H248="","",IF(样本池!$E$6="原币",H248,IF(ISNUMBER(H248),H248*1,H248)))</f>
        <v>220797.29</v>
      </c>
      <c r="I49" s="9">
        <f>IF(I248="","",IF(样本池!$E$6="原币",I248,IF(ISNUMBER(I248),I248*1,I248)))</f>
        <v>53646.54</v>
      </c>
      <c r="J49" s="9">
        <f>IF(J248="","",IF(样本池!$E$6="原币",J248,IF(ISNUMBER(J248),J248*1,J248)))</f>
        <v>49654.16</v>
      </c>
      <c r="K49" s="9">
        <f>IF(K248="","",IF(样本池!$E$6="原币",K248,IF(ISNUMBER(K248),K248*1,K248)))</f>
        <v>339055.57</v>
      </c>
      <c r="L49" s="9">
        <f>IF(L248="","",IF(样本池!$E$6="原币",L248,IF(ISNUMBER(L248),L248*1,L248)))</f>
        <v>178402.25</v>
      </c>
    </row>
    <row r="50" spans="1:12" ht="16.5" x14ac:dyDescent="0.35">
      <c r="A50" s="8" t="s">
        <v>296</v>
      </c>
      <c r="B50" s="8" t="s">
        <v>300</v>
      </c>
      <c r="C50" s="9">
        <f>IF(C249="","",IF(样本池!$E$6="原币",C249,IF(ISNUMBER(C249),C249*1,C249)))</f>
        <v>44285.52</v>
      </c>
      <c r="D50" s="9">
        <f>IF(D249="","",IF(样本池!$E$6="原币",D249,IF(ISNUMBER(D249),D249*1,D249)))</f>
        <v>46754.17</v>
      </c>
      <c r="E50" s="9">
        <f>IF(E249="","",IF(样本池!$E$6="原币",E249,IF(ISNUMBER(E249),E249*1,E249)))</f>
        <v>4000</v>
      </c>
      <c r="F50" s="9">
        <f>IF(F249="","",IF(样本池!$E$6="原币",F249,IF(ISNUMBER(F249),F249*1,F249)))</f>
        <v>3000</v>
      </c>
      <c r="G50" s="9">
        <f>IF(G249="","",IF(样本池!$E$6="原币",G249,IF(ISNUMBER(G249),G249*1,G249)))</f>
        <v>48990.28</v>
      </c>
      <c r="H50" s="9">
        <f>IF(H249="","",IF(样本池!$E$6="原币",H249,IF(ISNUMBER(H249),H249*1,H249)))</f>
        <v>49404.77</v>
      </c>
      <c r="I50" s="9">
        <f>IF(I249="","",IF(样本池!$E$6="原币",I249,IF(ISNUMBER(I249),I249*1,I249)))</f>
        <v>2490.8200000000002</v>
      </c>
      <c r="J50" s="9">
        <f>IF(J249="","",IF(样本池!$E$6="原币",J249,IF(ISNUMBER(J249),J249*1,J249)))</f>
        <v>6732.83</v>
      </c>
      <c r="K50" s="9">
        <f>IF(K249="","",IF(样本池!$E$6="原币",K249,IF(ISNUMBER(K249),K249*1,K249)))</f>
        <v>150441.99</v>
      </c>
      <c r="L50" s="9">
        <f>IF(L249="","",IF(样本池!$E$6="原币",L249,IF(ISNUMBER(L249),L249*1,L249)))</f>
        <v>820.8</v>
      </c>
    </row>
    <row r="51" spans="1:12" ht="16.5" x14ac:dyDescent="0.35">
      <c r="A51" s="8" t="s">
        <v>296</v>
      </c>
      <c r="B51" s="8" t="s">
        <v>301</v>
      </c>
      <c r="C51" s="9">
        <f>IF(C250="","",IF(样本池!$E$6="原币",C250,IF(ISNUMBER(C250),C250*1,C250)))</f>
        <v>187050.66</v>
      </c>
      <c r="D51" s="9">
        <f>IF(D250="","",IF(样本池!$E$6="原币",D250,IF(ISNUMBER(D250),D250*1,D250)))</f>
        <v>177835.92</v>
      </c>
      <c r="E51" s="9">
        <f>IF(E250="","",IF(样本池!$E$6="原币",E250,IF(ISNUMBER(E250),E250*1,E250)))</f>
        <v>168803.56</v>
      </c>
      <c r="F51" s="9">
        <f>IF(F250="","",IF(样本池!$E$6="原币",F250,IF(ISNUMBER(F250),F250*1,F250)))</f>
        <v>160055.9</v>
      </c>
      <c r="G51" s="9">
        <f>IF(G250="","",IF(样本池!$E$6="原币",G250,IF(ISNUMBER(G250),G250*1,G250)))</f>
        <v>165419.07</v>
      </c>
      <c r="H51" s="9">
        <f>IF(H250="","",IF(样本池!$E$6="原币",H250,IF(ISNUMBER(H250),H250*1,H250)))</f>
        <v>171392.51</v>
      </c>
      <c r="I51" s="9">
        <f>IF(I250="","",IF(样本池!$E$6="原币",I250,IF(ISNUMBER(I250),I250*1,I250)))</f>
        <v>51155.72</v>
      </c>
      <c r="J51" s="9">
        <f>IF(J250="","",IF(样本池!$E$6="原币",J250,IF(ISNUMBER(J250),J250*1,J250)))</f>
        <v>42921.33</v>
      </c>
      <c r="K51" s="9">
        <f>IF(K250="","",IF(样本池!$E$6="原币",K250,IF(ISNUMBER(K250),K250*1,K250)))</f>
        <v>188613.58</v>
      </c>
      <c r="L51" s="9">
        <f>IF(L250="","",IF(样本池!$E$6="原币",L250,IF(ISNUMBER(L250),L250*1,L250)))</f>
        <v>177581.44</v>
      </c>
    </row>
    <row r="52" spans="1:12" ht="16.5" x14ac:dyDescent="0.35">
      <c r="A52" s="8" t="s">
        <v>296</v>
      </c>
      <c r="B52" s="8" t="s">
        <v>302</v>
      </c>
      <c r="C52" s="9" t="str">
        <f>IF(C251="","",IF(样本池!$E$6="原币",C251,IF(ISNUMBER(C251),C251*1,C251)))</f>
        <v/>
      </c>
      <c r="D52" s="9" t="str">
        <f>IF(D251="","",IF(样本池!$E$6="原币",D251,IF(ISNUMBER(D251),D251*1,D251)))</f>
        <v/>
      </c>
      <c r="E52" s="9" t="str">
        <f>IF(E251="","",IF(样本池!$E$6="原币",E251,IF(ISNUMBER(E251),E251*1,E251)))</f>
        <v/>
      </c>
      <c r="F52" s="9" t="str">
        <f>IF(F251="","",IF(样本池!$E$6="原币",F251,IF(ISNUMBER(F251),F251*1,F251)))</f>
        <v/>
      </c>
      <c r="G52" s="9" t="str">
        <f>IF(G251="","",IF(样本池!$E$6="原币",G251,IF(ISNUMBER(G251),G251*1,G251)))</f>
        <v/>
      </c>
      <c r="H52" s="9" t="str">
        <f>IF(H251="","",IF(样本池!$E$6="原币",H251,IF(ISNUMBER(H251),H251*1,H251)))</f>
        <v/>
      </c>
      <c r="I52" s="9">
        <f>IF(I251="","",IF(样本池!$E$6="原币",I251,IF(ISNUMBER(I251),I251*1,I251)))</f>
        <v>40.28</v>
      </c>
      <c r="J52" s="9">
        <f>IF(J251="","",IF(样本池!$E$6="原币",J251,IF(ISNUMBER(J251),J251*1,J251)))</f>
        <v>59.71</v>
      </c>
      <c r="K52" s="9">
        <f>IF(K251="","",IF(样本池!$E$6="原币",K251,IF(ISNUMBER(K251),K251*1,K251)))</f>
        <v>1032.6199999999999</v>
      </c>
      <c r="L52" s="9">
        <f>IF(L251="","",IF(样本池!$E$6="原币",L251,IF(ISNUMBER(L251),L251*1,L251)))</f>
        <v>288.37</v>
      </c>
    </row>
    <row r="53" spans="1:12" ht="16.5" x14ac:dyDescent="0.35">
      <c r="A53" s="8" t="s">
        <v>296</v>
      </c>
      <c r="B53" s="8" t="s">
        <v>303</v>
      </c>
      <c r="C53" s="9" t="str">
        <f>IF(C252="","",IF(样本池!$E$6="原币",C252,IF(ISNUMBER(C252),C252*1,C252)))</f>
        <v/>
      </c>
      <c r="D53" s="9" t="str">
        <f>IF(D252="","",IF(样本池!$E$6="原币",D252,IF(ISNUMBER(D252),D252*1,D252)))</f>
        <v/>
      </c>
      <c r="E53" s="9" t="str">
        <f>IF(E252="","",IF(样本池!$E$6="原币",E252,IF(ISNUMBER(E252),E252*1,E252)))</f>
        <v/>
      </c>
      <c r="F53" s="9" t="str">
        <f>IF(F252="","",IF(样本池!$E$6="原币",F252,IF(ISNUMBER(F252),F252*1,F252)))</f>
        <v/>
      </c>
      <c r="G53" s="9" t="str">
        <f>IF(G252="","",IF(样本池!$E$6="原币",G252,IF(ISNUMBER(G252),G252*1,G252)))</f>
        <v/>
      </c>
      <c r="H53" s="9" t="str">
        <f>IF(H252="","",IF(样本池!$E$6="原币",H252,IF(ISNUMBER(H252),H252*1,H252)))</f>
        <v/>
      </c>
      <c r="I53" s="9" t="str">
        <f>IF(I252="","",IF(样本池!$E$6="原币",I252,IF(ISNUMBER(I252),I252*1,I252)))</f>
        <v/>
      </c>
      <c r="J53" s="9" t="str">
        <f>IF(J252="","",IF(样本池!$E$6="原币",J252,IF(ISNUMBER(J252),J252*1,J252)))</f>
        <v/>
      </c>
      <c r="K53" s="9" t="str">
        <f>IF(K252="","",IF(样本池!$E$6="原币",K252,IF(ISNUMBER(K252),K252*1,K252)))</f>
        <v/>
      </c>
      <c r="L53" s="9" t="str">
        <f>IF(L252="","",IF(样本池!$E$6="原币",L252,IF(ISNUMBER(L252),L252*1,L252)))</f>
        <v/>
      </c>
    </row>
    <row r="54" spans="1:12" ht="16.5" x14ac:dyDescent="0.35">
      <c r="A54" s="8" t="s">
        <v>296</v>
      </c>
      <c r="B54" s="8" t="s">
        <v>304</v>
      </c>
      <c r="C54" s="9">
        <f>IF(C253="","",IF(样本池!$E$6="原币",C253,IF(ISNUMBER(C253),C253*1,C253)))</f>
        <v>125086.13</v>
      </c>
      <c r="D54" s="9">
        <f>IF(D253="","",IF(样本池!$E$6="原币",D253,IF(ISNUMBER(D253),D253*1,D253)))</f>
        <v>137665.70000000001</v>
      </c>
      <c r="E54" s="9">
        <f>IF(E253="","",IF(样本池!$E$6="原币",E253,IF(ISNUMBER(E253),E253*1,E253)))</f>
        <v>11708.62</v>
      </c>
      <c r="F54" s="9">
        <f>IF(F253="","",IF(样本池!$E$6="原币",F253,IF(ISNUMBER(F253),F253*1,F253)))</f>
        <v>12388.57</v>
      </c>
      <c r="G54" s="9">
        <f>IF(G253="","",IF(样本池!$E$6="原币",G253,IF(ISNUMBER(G253),G253*1,G253)))</f>
        <v>8173.49</v>
      </c>
      <c r="H54" s="9">
        <f>IF(H253="","",IF(样本池!$E$6="原币",H253,IF(ISNUMBER(H253),H253*1,H253)))</f>
        <v>8239.59</v>
      </c>
      <c r="I54" s="9">
        <f>IF(I253="","",IF(样本池!$E$6="原币",I253,IF(ISNUMBER(I253),I253*1,I253)))</f>
        <v>8155.66</v>
      </c>
      <c r="J54" s="9">
        <f>IF(J253="","",IF(样本池!$E$6="原币",J253,IF(ISNUMBER(J253),J253*1,J253)))</f>
        <v>8004.38</v>
      </c>
      <c r="K54" s="9">
        <f>IF(K253="","",IF(样本池!$E$6="原币",K253,IF(ISNUMBER(K253),K253*1,K253)))</f>
        <v>68442.990000000005</v>
      </c>
      <c r="L54" s="9">
        <f>IF(L253="","",IF(样本池!$E$6="原币",L253,IF(ISNUMBER(L253),L253*1,L253)))</f>
        <v>58818.53</v>
      </c>
    </row>
    <row r="55" spans="1:12" ht="16.5" x14ac:dyDescent="0.35">
      <c r="A55" s="8" t="s">
        <v>296</v>
      </c>
      <c r="B55" s="8" t="s">
        <v>305</v>
      </c>
      <c r="C55" s="9">
        <f>IF(C254="","",IF(样本池!$E$6="原币",C254,IF(ISNUMBER(C254),C254*1,C254)))</f>
        <v>53247.7</v>
      </c>
      <c r="D55" s="9">
        <f>IF(D254="","",IF(样本池!$E$6="原币",D254,IF(ISNUMBER(D254),D254*1,D254)))</f>
        <v>40103.94</v>
      </c>
      <c r="E55" s="9">
        <f>IF(E254="","",IF(样本池!$E$6="原币",E254,IF(ISNUMBER(E254),E254*1,E254)))</f>
        <v>7225.03</v>
      </c>
      <c r="F55" s="9">
        <f>IF(F254="","",IF(样本池!$E$6="原币",F254,IF(ISNUMBER(F254),F254*1,F254)))</f>
        <v>6212.94</v>
      </c>
      <c r="G55" s="9">
        <f>IF(G254="","",IF(样本池!$E$6="原币",G254,IF(ISNUMBER(G254),G254*1,G254)))</f>
        <v>5345.4</v>
      </c>
      <c r="H55" s="9">
        <f>IF(H254="","",IF(样本池!$E$6="原币",H254,IF(ISNUMBER(H254),H254*1,H254)))</f>
        <v>8615.01</v>
      </c>
      <c r="I55" s="9">
        <f>IF(I254="","",IF(样本池!$E$6="原币",I254,IF(ISNUMBER(I254),I254*1,I254)))</f>
        <v>12671.87</v>
      </c>
      <c r="J55" s="9">
        <f>IF(J254="","",IF(样本池!$E$6="原币",J254,IF(ISNUMBER(J254),J254*1,J254)))</f>
        <v>10900.07</v>
      </c>
      <c r="K55" s="9">
        <f>IF(K254="","",IF(样本池!$E$6="原币",K254,IF(ISNUMBER(K254),K254*1,K254)))</f>
        <v>34717.949999999997</v>
      </c>
      <c r="L55" s="9">
        <f>IF(L254="","",IF(样本池!$E$6="原币",L254,IF(ISNUMBER(L254),L254*1,L254)))</f>
        <v>31245.29</v>
      </c>
    </row>
    <row r="56" spans="1:12" ht="16.5" x14ac:dyDescent="0.35">
      <c r="A56" s="8" t="s">
        <v>296</v>
      </c>
      <c r="B56" s="8" t="s">
        <v>306</v>
      </c>
      <c r="C56" s="9">
        <f>IF(C255="","",IF(样本池!$E$6="原币",C255,IF(ISNUMBER(C255),C255*1,C255)))</f>
        <v>91709.37</v>
      </c>
      <c r="D56" s="9">
        <f>IF(D255="","",IF(样本池!$E$6="原币",D255,IF(ISNUMBER(D255),D255*1,D255)))</f>
        <v>72856</v>
      </c>
      <c r="E56" s="9">
        <f>IF(E255="","",IF(样本池!$E$6="原币",E255,IF(ISNUMBER(E255),E255*1,E255)))</f>
        <v>11420.54</v>
      </c>
      <c r="F56" s="9">
        <f>IF(F255="","",IF(样本池!$E$6="原币",F255,IF(ISNUMBER(F255),F255*1,F255)))</f>
        <v>10694.94</v>
      </c>
      <c r="G56" s="9">
        <f>IF(G255="","",IF(样本池!$E$6="原币",G255,IF(ISNUMBER(G255),G255*1,G255)))</f>
        <v>12138.59</v>
      </c>
      <c r="H56" s="9">
        <f>IF(H255="","",IF(样本池!$E$6="原币",H255,IF(ISNUMBER(H255),H255*1,H255)))</f>
        <v>7621.71</v>
      </c>
      <c r="I56" s="9">
        <f>IF(I255="","",IF(样本池!$E$6="原币",I255,IF(ISNUMBER(I255),I255*1,I255)))</f>
        <v>21417.759999999998</v>
      </c>
      <c r="J56" s="9">
        <f>IF(J255="","",IF(样本池!$E$6="原币",J255,IF(ISNUMBER(J255),J255*1,J255)))</f>
        <v>15226.88</v>
      </c>
      <c r="K56" s="9">
        <f>IF(K255="","",IF(样本池!$E$6="原币",K255,IF(ISNUMBER(K255),K255*1,K255)))</f>
        <v>91070.42</v>
      </c>
      <c r="L56" s="9">
        <f>IF(L255="","",IF(样本池!$E$6="原币",L255,IF(ISNUMBER(L255),L255*1,L255)))</f>
        <v>71243.05</v>
      </c>
    </row>
    <row r="57" spans="1:12" ht="16.5" x14ac:dyDescent="0.35">
      <c r="A57" s="8" t="s">
        <v>296</v>
      </c>
      <c r="B57" s="8" t="s">
        <v>307</v>
      </c>
      <c r="C57" s="9" t="str">
        <f>IF(C256="","",IF(样本池!$E$6="原币",C256,IF(ISNUMBER(C256),C256*1,C256)))</f>
        <v/>
      </c>
      <c r="D57" s="9" t="str">
        <f>IF(D256="","",IF(样本池!$E$6="原币",D256,IF(ISNUMBER(D256),D256*1,D256)))</f>
        <v/>
      </c>
      <c r="E57" s="9" t="str">
        <f>IF(E256="","",IF(样本池!$E$6="原币",E256,IF(ISNUMBER(E256),E256*1,E256)))</f>
        <v/>
      </c>
      <c r="F57" s="9" t="str">
        <f>IF(F256="","",IF(样本池!$E$6="原币",F256,IF(ISNUMBER(F256),F256*1,F256)))</f>
        <v/>
      </c>
      <c r="G57" s="9" t="str">
        <f>IF(G256="","",IF(样本池!$E$6="原币",G256,IF(ISNUMBER(G256),G256*1,G256)))</f>
        <v/>
      </c>
      <c r="H57" s="9" t="str">
        <f>IF(H256="","",IF(样本池!$E$6="原币",H256,IF(ISNUMBER(H256),H256*1,H256)))</f>
        <v/>
      </c>
      <c r="I57" s="9" t="str">
        <f>IF(I256="","",IF(样本池!$E$6="原币",I256,IF(ISNUMBER(I256),I256*1,I256)))</f>
        <v/>
      </c>
      <c r="J57" s="9" t="str">
        <f>IF(J256="","",IF(样本池!$E$6="原币",J256,IF(ISNUMBER(J256),J256*1,J256)))</f>
        <v/>
      </c>
      <c r="K57" s="9" t="str">
        <f>IF(K256="","",IF(样本池!$E$6="原币",K256,IF(ISNUMBER(K256),K256*1,K256)))</f>
        <v/>
      </c>
      <c r="L57" s="9" t="str">
        <f>IF(L256="","",IF(样本池!$E$6="原币",L256,IF(ISNUMBER(L256),L256*1,L256)))</f>
        <v/>
      </c>
    </row>
    <row r="58" spans="1:12" ht="16.5" x14ac:dyDescent="0.35">
      <c r="A58" s="8" t="s">
        <v>296</v>
      </c>
      <c r="B58" s="8" t="s">
        <v>308</v>
      </c>
      <c r="C58" s="9" t="str">
        <f>IF(C257="","",IF(样本池!$E$6="原币",C257,IF(ISNUMBER(C257),C257*1,C257)))</f>
        <v/>
      </c>
      <c r="D58" s="9" t="str">
        <f>IF(D257="","",IF(样本池!$E$6="原币",D257,IF(ISNUMBER(D257),D257*1,D257)))</f>
        <v/>
      </c>
      <c r="E58" s="9">
        <f>IF(E257="","",IF(样本池!$E$6="原币",E257,IF(ISNUMBER(E257),E257*1,E257)))</f>
        <v>1000</v>
      </c>
      <c r="F58" s="9">
        <f>IF(F257="","",IF(样本池!$E$6="原币",F257,IF(ISNUMBER(F257),F257*1,F257)))</f>
        <v>4652.93</v>
      </c>
      <c r="G58" s="9" t="str">
        <f>IF(G257="","",IF(样本池!$E$6="原币",G257,IF(ISNUMBER(G257),G257*1,G257)))</f>
        <v/>
      </c>
      <c r="H58" s="9" t="str">
        <f>IF(H257="","",IF(样本池!$E$6="原币",H257,IF(ISNUMBER(H257),H257*1,H257)))</f>
        <v/>
      </c>
      <c r="I58" s="9" t="str">
        <f>IF(I257="","",IF(样本池!$E$6="原币",I257,IF(ISNUMBER(I257),I257*1,I257)))</f>
        <v/>
      </c>
      <c r="J58" s="9" t="str">
        <f>IF(J257="","",IF(样本池!$E$6="原币",J257,IF(ISNUMBER(J257),J257*1,J257)))</f>
        <v/>
      </c>
      <c r="K58" s="9">
        <f>IF(K257="","",IF(样本池!$E$6="原币",K257,IF(ISNUMBER(K257),K257*1,K257)))</f>
        <v>9924.94</v>
      </c>
      <c r="L58" s="9">
        <f>IF(L257="","",IF(样本池!$E$6="原币",L257,IF(ISNUMBER(L257),L257*1,L257)))</f>
        <v>4612.46</v>
      </c>
    </row>
    <row r="59" spans="1:12" ht="16.5" x14ac:dyDescent="0.35">
      <c r="A59" s="8" t="s">
        <v>296</v>
      </c>
      <c r="B59" s="8" t="s">
        <v>309</v>
      </c>
      <c r="C59" s="9" t="str">
        <f>IF(C258="","",IF(样本池!$E$6="原币",C258,IF(ISNUMBER(C258),C258*1,C258)))</f>
        <v/>
      </c>
      <c r="D59" s="9">
        <f>IF(D258="","",IF(样本池!$E$6="原币",D258,IF(ISNUMBER(D258),D258*1,D258)))</f>
        <v>72856</v>
      </c>
      <c r="E59" s="9" t="str">
        <f>IF(E258="","",IF(样本池!$E$6="原币",E258,IF(ISNUMBER(E258),E258*1,E258)))</f>
        <v/>
      </c>
      <c r="F59" s="9">
        <f>IF(F258="","",IF(样本池!$E$6="原币",F258,IF(ISNUMBER(F258),F258*1,F258)))</f>
        <v>6042.01</v>
      </c>
      <c r="G59" s="9" t="str">
        <f>IF(G258="","",IF(样本池!$E$6="原币",G258,IF(ISNUMBER(G258),G258*1,G258)))</f>
        <v/>
      </c>
      <c r="H59" s="9">
        <f>IF(H258="","",IF(样本池!$E$6="原币",H258,IF(ISNUMBER(H258),H258*1,H258)))</f>
        <v>7621.71</v>
      </c>
      <c r="I59" s="9" t="str">
        <f>IF(I258="","",IF(样本池!$E$6="原币",I258,IF(ISNUMBER(I258),I258*1,I258)))</f>
        <v/>
      </c>
      <c r="J59" s="9">
        <f>IF(J258="","",IF(样本池!$E$6="原币",J258,IF(ISNUMBER(J258),J258*1,J258)))</f>
        <v>15226.88</v>
      </c>
      <c r="K59" s="9" t="str">
        <f>IF(K258="","",IF(样本池!$E$6="原币",K258,IF(ISNUMBER(K258),K258*1,K258)))</f>
        <v/>
      </c>
      <c r="L59" s="9">
        <f>IF(L258="","",IF(样本池!$E$6="原币",L258,IF(ISNUMBER(L258),L258*1,L258)))</f>
        <v>66630.59</v>
      </c>
    </row>
    <row r="60" spans="1:12" ht="16.5" x14ac:dyDescent="0.35">
      <c r="A60" s="8" t="s">
        <v>296</v>
      </c>
      <c r="B60" s="8" t="s">
        <v>310</v>
      </c>
      <c r="C60" s="9" t="str">
        <f>IF(C259="","",IF(样本池!$E$6="原币",C259,IF(ISNUMBER(C259),C259*1,C259)))</f>
        <v/>
      </c>
      <c r="D60" s="9" t="str">
        <f>IF(D259="","",IF(样本池!$E$6="原币",D259,IF(ISNUMBER(D259),D259*1,D259)))</f>
        <v/>
      </c>
      <c r="E60" s="9" t="str">
        <f>IF(E259="","",IF(样本池!$E$6="原币",E259,IF(ISNUMBER(E259),E259*1,E259)))</f>
        <v/>
      </c>
      <c r="F60" s="9" t="str">
        <f>IF(F259="","",IF(样本池!$E$6="原币",F259,IF(ISNUMBER(F259),F259*1,F259)))</f>
        <v/>
      </c>
      <c r="G60" s="9" t="str">
        <f>IF(G259="","",IF(样本池!$E$6="原币",G259,IF(ISNUMBER(G259),G259*1,G259)))</f>
        <v/>
      </c>
      <c r="H60" s="9" t="str">
        <f>IF(H259="","",IF(样本池!$E$6="原币",H259,IF(ISNUMBER(H259),H259*1,H259)))</f>
        <v/>
      </c>
      <c r="I60" s="9" t="str">
        <f>IF(I259="","",IF(样本池!$E$6="原币",I259,IF(ISNUMBER(I259),I259*1,I259)))</f>
        <v/>
      </c>
      <c r="J60" s="9" t="str">
        <f>IF(J259="","",IF(样本池!$E$6="原币",J259,IF(ISNUMBER(J259),J259*1,J259)))</f>
        <v/>
      </c>
      <c r="K60" s="9" t="str">
        <f>IF(K259="","",IF(样本池!$E$6="原币",K259,IF(ISNUMBER(K259),K259*1,K259)))</f>
        <v/>
      </c>
      <c r="L60" s="9" t="str">
        <f>IF(L259="","",IF(样本池!$E$6="原币",L259,IF(ISNUMBER(L259),L259*1,L259)))</f>
        <v/>
      </c>
    </row>
    <row r="61" spans="1:12" ht="16.5" x14ac:dyDescent="0.35">
      <c r="A61" s="8" t="s">
        <v>296</v>
      </c>
      <c r="B61" s="8" t="s">
        <v>311</v>
      </c>
      <c r="C61" s="9" t="str">
        <f>IF(C260="","",IF(样本池!$E$6="原币",C260,IF(ISNUMBER(C260),C260*1,C260)))</f>
        <v/>
      </c>
      <c r="D61" s="9" t="str">
        <f>IF(D260="","",IF(样本池!$E$6="原币",D260,IF(ISNUMBER(D260),D260*1,D260)))</f>
        <v/>
      </c>
      <c r="E61" s="9" t="str">
        <f>IF(E260="","",IF(样本池!$E$6="原币",E260,IF(ISNUMBER(E260),E260*1,E260)))</f>
        <v/>
      </c>
      <c r="F61" s="9" t="str">
        <f>IF(F260="","",IF(样本池!$E$6="原币",F260,IF(ISNUMBER(F260),F260*1,F260)))</f>
        <v/>
      </c>
      <c r="G61" s="9" t="str">
        <f>IF(G260="","",IF(样本池!$E$6="原币",G260,IF(ISNUMBER(G260),G260*1,G260)))</f>
        <v/>
      </c>
      <c r="H61" s="9" t="str">
        <f>IF(H260="","",IF(样本池!$E$6="原币",H260,IF(ISNUMBER(H260),H260*1,H260)))</f>
        <v/>
      </c>
      <c r="I61" s="9" t="str">
        <f>IF(I260="","",IF(样本池!$E$6="原币",I260,IF(ISNUMBER(I260),I260*1,I260)))</f>
        <v/>
      </c>
      <c r="J61" s="9" t="str">
        <f>IF(J260="","",IF(样本池!$E$6="原币",J260,IF(ISNUMBER(J260),J260*1,J260)))</f>
        <v/>
      </c>
      <c r="K61" s="9" t="str">
        <f>IF(K260="","",IF(样本池!$E$6="原币",K260,IF(ISNUMBER(K260),K260*1,K260)))</f>
        <v/>
      </c>
      <c r="L61" s="9" t="str">
        <f>IF(L260="","",IF(样本池!$E$6="原币",L260,IF(ISNUMBER(L260),L260*1,L260)))</f>
        <v/>
      </c>
    </row>
    <row r="62" spans="1:12" ht="16.5" x14ac:dyDescent="0.35">
      <c r="A62" s="8" t="s">
        <v>296</v>
      </c>
      <c r="B62" s="8" t="s">
        <v>312</v>
      </c>
      <c r="C62" s="9" t="str">
        <f>IF(C261="","",IF(样本池!$E$6="原币",C261,IF(ISNUMBER(C261),C261*1,C261)))</f>
        <v/>
      </c>
      <c r="D62" s="9" t="str">
        <f>IF(D261="","",IF(样本池!$E$6="原币",D261,IF(ISNUMBER(D261),D261*1,D261)))</f>
        <v/>
      </c>
      <c r="E62" s="9" t="str">
        <f>IF(E261="","",IF(样本池!$E$6="原币",E261,IF(ISNUMBER(E261),E261*1,E261)))</f>
        <v/>
      </c>
      <c r="F62" s="9" t="str">
        <f>IF(F261="","",IF(样本池!$E$6="原币",F261,IF(ISNUMBER(F261),F261*1,F261)))</f>
        <v/>
      </c>
      <c r="G62" s="9" t="str">
        <f>IF(G261="","",IF(样本池!$E$6="原币",G261,IF(ISNUMBER(G261),G261*1,G261)))</f>
        <v/>
      </c>
      <c r="H62" s="9" t="str">
        <f>IF(H261="","",IF(样本池!$E$6="原币",H261,IF(ISNUMBER(H261),H261*1,H261)))</f>
        <v/>
      </c>
      <c r="I62" s="9" t="str">
        <f>IF(I261="","",IF(样本池!$E$6="原币",I261,IF(ISNUMBER(I261),I261*1,I261)))</f>
        <v/>
      </c>
      <c r="J62" s="9" t="str">
        <f>IF(J261="","",IF(样本池!$E$6="原币",J261,IF(ISNUMBER(J261),J261*1,J261)))</f>
        <v/>
      </c>
      <c r="K62" s="9" t="str">
        <f>IF(K261="","",IF(样本池!$E$6="原币",K261,IF(ISNUMBER(K261),K261*1,K261)))</f>
        <v/>
      </c>
      <c r="L62" s="9" t="str">
        <f>IF(L261="","",IF(样本池!$E$6="原币",L261,IF(ISNUMBER(L261),L261*1,L261)))</f>
        <v/>
      </c>
    </row>
    <row r="63" spans="1:12" ht="16.5" x14ac:dyDescent="0.35">
      <c r="A63" s="8" t="s">
        <v>296</v>
      </c>
      <c r="B63" s="8" t="s">
        <v>313</v>
      </c>
      <c r="C63" s="9">
        <f>IF(C262="","",IF(样本池!$E$6="原币",C262,IF(ISNUMBER(C262),C262*1,C262)))</f>
        <v>22644.36</v>
      </c>
      <c r="D63" s="9">
        <f>IF(D262="","",IF(样本池!$E$6="原币",D262,IF(ISNUMBER(D262),D262*1,D262)))</f>
        <v>19660.78</v>
      </c>
      <c r="E63" s="9">
        <f>IF(E262="","",IF(样本池!$E$6="原币",E262,IF(ISNUMBER(E262),E262*1,E262)))</f>
        <v>43824.11</v>
      </c>
      <c r="F63" s="9">
        <f>IF(F262="","",IF(样本池!$E$6="原币",F262,IF(ISNUMBER(F262),F262*1,F262)))</f>
        <v>42212.38</v>
      </c>
      <c r="G63" s="9">
        <f>IF(G262="","",IF(样本池!$E$6="原币",G262,IF(ISNUMBER(G262),G262*1,G262)))</f>
        <v>45823.7</v>
      </c>
      <c r="H63" s="9">
        <f>IF(H262="","",IF(样本池!$E$6="原币",H262,IF(ISNUMBER(H262),H262*1,H262)))</f>
        <v>40181.480000000003</v>
      </c>
      <c r="I63" s="9">
        <f>IF(I262="","",IF(样本池!$E$6="原币",I262,IF(ISNUMBER(I262),I262*1,I262)))</f>
        <v>18028.37</v>
      </c>
      <c r="J63" s="9">
        <f>IF(J262="","",IF(样本池!$E$6="原币",J262,IF(ISNUMBER(J262),J262*1,J262)))</f>
        <v>15829.44</v>
      </c>
      <c r="K63" s="9">
        <f>IF(K262="","",IF(样本池!$E$6="原币",K262,IF(ISNUMBER(K262),K262*1,K262)))</f>
        <v>7720.36</v>
      </c>
      <c r="L63" s="9">
        <f>IF(L262="","",IF(样本池!$E$6="原币",L262,IF(ISNUMBER(L262),L262*1,L262)))</f>
        <v>9185.92</v>
      </c>
    </row>
    <row r="64" spans="1:12" ht="16.5" x14ac:dyDescent="0.35">
      <c r="A64" s="8" t="s">
        <v>296</v>
      </c>
      <c r="B64" s="8" t="s">
        <v>314</v>
      </c>
      <c r="C64" s="9">
        <f>IF(C263="","",IF(样本池!$E$6="原币",C263,IF(ISNUMBER(C263),C263*1,C263)))</f>
        <v>34708.74</v>
      </c>
      <c r="D64" s="9">
        <f>IF(D263="","",IF(样本池!$E$6="原币",D263,IF(ISNUMBER(D263),D263*1,D263)))</f>
        <v>29174.49</v>
      </c>
      <c r="E64" s="9">
        <f>IF(E263="","",IF(样本池!$E$6="原币",E263,IF(ISNUMBER(E263),E263*1,E263)))</f>
        <v>797.02</v>
      </c>
      <c r="F64" s="9">
        <f>IF(F263="","",IF(样本池!$E$6="原币",F263,IF(ISNUMBER(F263),F263*1,F263)))</f>
        <v>696.73</v>
      </c>
      <c r="G64" s="9">
        <f>IF(G263="","",IF(样本池!$E$6="原币",G263,IF(ISNUMBER(G263),G263*1,G263)))</f>
        <v>1406.63</v>
      </c>
      <c r="H64" s="9">
        <f>IF(H263="","",IF(样本池!$E$6="原币",H263,IF(ISNUMBER(H263),H263*1,H263)))</f>
        <v>2538.39</v>
      </c>
      <c r="I64" s="9">
        <f>IF(I263="","",IF(样本池!$E$6="原币",I263,IF(ISNUMBER(I263),I263*1,I263)))</f>
        <v>3367.28</v>
      </c>
      <c r="J64" s="9">
        <f>IF(J263="","",IF(样本池!$E$6="原币",J263,IF(ISNUMBER(J263),J263*1,J263)))</f>
        <v>2152.9699999999998</v>
      </c>
      <c r="K64" s="9">
        <f>IF(K263="","",IF(样本池!$E$6="原币",K263,IF(ISNUMBER(K263),K263*1,K263)))</f>
        <v>9675.0499999999993</v>
      </c>
      <c r="L64" s="9">
        <f>IF(L263="","",IF(样本池!$E$6="原币",L263,IF(ISNUMBER(L263),L263*1,L263)))</f>
        <v>16889.71</v>
      </c>
    </row>
    <row r="65" spans="1:12" ht="16.5" x14ac:dyDescent="0.35">
      <c r="A65" s="8" t="s">
        <v>296</v>
      </c>
      <c r="B65" s="8" t="s">
        <v>315</v>
      </c>
      <c r="C65" s="9">
        <f>IF(C264="","",IF(样本池!$E$6="原币",C264,IF(ISNUMBER(C264),C264*1,C264)))</f>
        <v>676851.15</v>
      </c>
      <c r="D65" s="9">
        <f>IF(D264="","",IF(样本池!$E$6="原币",D264,IF(ISNUMBER(D264),D264*1,D264)))</f>
        <v>590151.18999999994</v>
      </c>
      <c r="E65" s="9">
        <f>IF(E264="","",IF(样本池!$E$6="原币",E264,IF(ISNUMBER(E264),E264*1,E264)))</f>
        <v>449646.85</v>
      </c>
      <c r="F65" s="9">
        <f>IF(F264="","",IF(样本池!$E$6="原币",F264,IF(ISNUMBER(F264),F264*1,F264)))</f>
        <v>436617.67</v>
      </c>
      <c r="G65" s="9">
        <f>IF(G264="","",IF(样本池!$E$6="原币",G264,IF(ISNUMBER(G264),G264*1,G264)))</f>
        <v>414866.24</v>
      </c>
      <c r="H65" s="9">
        <f>IF(H264="","",IF(样本池!$E$6="原币",H264,IF(ISNUMBER(H264),H264*1,H264)))</f>
        <v>448731.01</v>
      </c>
      <c r="I65" s="9">
        <f>IF(I264="","",IF(样本池!$E$6="原币",I264,IF(ISNUMBER(I264),I264*1,I264)))</f>
        <v>249818.57</v>
      </c>
      <c r="J65" s="9">
        <f>IF(J264="","",IF(样本池!$E$6="原币",J264,IF(ISNUMBER(J264),J264*1,J264)))</f>
        <v>234878.73</v>
      </c>
      <c r="K65" s="9">
        <f>IF(K264="","",IF(样本池!$E$6="原币",K264,IF(ISNUMBER(K264),K264*1,K264)))</f>
        <v>773509.57</v>
      </c>
      <c r="L65" s="9">
        <f>IF(L264="","",IF(样本池!$E$6="原币",L264,IF(ISNUMBER(L264),L264*1,L264)))</f>
        <v>699756.75</v>
      </c>
    </row>
    <row r="66" spans="1:12" ht="16.5" x14ac:dyDescent="0.35">
      <c r="A66" s="8" t="s">
        <v>316</v>
      </c>
      <c r="B66" s="8" t="s">
        <v>317</v>
      </c>
      <c r="C66" s="9">
        <f>IF(C265="","",IF(样本池!$E$6="原币",C265,IF(ISNUMBER(C265),C265*1,C265)))</f>
        <v>78133.2</v>
      </c>
      <c r="D66" s="9">
        <f>IF(D265="","",IF(样本池!$E$6="原币",D265,IF(ISNUMBER(D265),D265*1,D265)))</f>
        <v>92491.5</v>
      </c>
      <c r="E66" s="9">
        <f>IF(E265="","",IF(样本池!$E$6="原币",E265,IF(ISNUMBER(E265),E265*1,E265)))</f>
        <v>23845.22</v>
      </c>
      <c r="F66" s="9">
        <f>IF(F265="","",IF(样本池!$E$6="原币",F265,IF(ISNUMBER(F265),F265*1,F265)))</f>
        <v>9688.1200000000008</v>
      </c>
      <c r="G66" s="9">
        <f>IF(G265="","",IF(样本池!$E$6="原币",G265,IF(ISNUMBER(G265),G265*1,G265)))</f>
        <v>73885.11</v>
      </c>
      <c r="H66" s="9">
        <f>IF(H265="","",IF(样本池!$E$6="原币",H265,IF(ISNUMBER(H265),H265*1,H265)))</f>
        <v>26126.560000000001</v>
      </c>
      <c r="I66" s="9">
        <f>IF(I265="","",IF(样本池!$E$6="原币",I265,IF(ISNUMBER(I265),I265*1,I265)))</f>
        <v>3812.84</v>
      </c>
      <c r="J66" s="9" t="str">
        <f>IF(J265="","",IF(样本池!$E$6="原币",J265,IF(ISNUMBER(J265),J265*1,J265)))</f>
        <v/>
      </c>
      <c r="K66" s="9" t="str">
        <f>IF(K265="","",IF(样本池!$E$6="原币",K265,IF(ISNUMBER(K265),K265*1,K265)))</f>
        <v/>
      </c>
      <c r="L66" s="9" t="str">
        <f>IF(L265="","",IF(样本池!$E$6="原币",L265,IF(ISNUMBER(L265),L265*1,L265)))</f>
        <v/>
      </c>
    </row>
    <row r="67" spans="1:12" ht="16.5" x14ac:dyDescent="0.35">
      <c r="A67" s="8" t="s">
        <v>316</v>
      </c>
      <c r="B67" s="8" t="s">
        <v>318</v>
      </c>
      <c r="C67" s="9">
        <f>IF(C266="","",IF(样本池!$E$6="原币",C266,IF(ISNUMBER(C266),C266*1,C266)))</f>
        <v>109739.98</v>
      </c>
      <c r="D67" s="9" t="str">
        <f>IF(D266="","",IF(样本池!$E$6="原币",D266,IF(ISNUMBER(D266),D266*1,D266)))</f>
        <v/>
      </c>
      <c r="E67" s="9" t="str">
        <f>IF(E266="","",IF(样本池!$E$6="原币",E266,IF(ISNUMBER(E266),E266*1,E266)))</f>
        <v/>
      </c>
      <c r="F67" s="9" t="str">
        <f>IF(F266="","",IF(样本池!$E$6="原币",F266,IF(ISNUMBER(F266),F266*1,F266)))</f>
        <v/>
      </c>
      <c r="G67" s="9" t="str">
        <f>IF(G266="","",IF(样本池!$E$6="原币",G266,IF(ISNUMBER(G266),G266*1,G266)))</f>
        <v/>
      </c>
      <c r="H67" s="9" t="str">
        <f>IF(H266="","",IF(样本池!$E$6="原币",H266,IF(ISNUMBER(H266),H266*1,H266)))</f>
        <v/>
      </c>
      <c r="I67" s="9" t="str">
        <f>IF(I266="","",IF(样本池!$E$6="原币",I266,IF(ISNUMBER(I266),I266*1,I266)))</f>
        <v/>
      </c>
      <c r="J67" s="9" t="str">
        <f>IF(J266="","",IF(样本池!$E$6="原币",J266,IF(ISNUMBER(J266),J266*1,J266)))</f>
        <v/>
      </c>
      <c r="K67" s="9" t="str">
        <f>IF(K266="","",IF(样本池!$E$6="原币",K266,IF(ISNUMBER(K266),K266*1,K266)))</f>
        <v/>
      </c>
      <c r="L67" s="9" t="str">
        <f>IF(L266="","",IF(样本池!$E$6="原币",L266,IF(ISNUMBER(L266),L266*1,L266)))</f>
        <v/>
      </c>
    </row>
    <row r="68" spans="1:12" ht="16.5" x14ac:dyDescent="0.35">
      <c r="A68" s="8" t="s">
        <v>316</v>
      </c>
      <c r="B68" s="8" t="s">
        <v>319</v>
      </c>
      <c r="C68" s="9">
        <f>IF(C267="","",IF(样本池!$E$6="原币",C267,IF(ISNUMBER(C267),C267*1,C267)))</f>
        <v>24633.06</v>
      </c>
      <c r="D68" s="9">
        <f>IF(D267="","",IF(样本池!$E$6="原币",D267,IF(ISNUMBER(D267),D267*1,D267)))</f>
        <v>6289.85</v>
      </c>
      <c r="E68" s="9">
        <f>IF(E267="","",IF(样本池!$E$6="原币",E267,IF(ISNUMBER(E267),E267*1,E267)))</f>
        <v>131871.89000000001</v>
      </c>
      <c r="F68" s="9">
        <f>IF(F267="","",IF(样本池!$E$6="原币",F267,IF(ISNUMBER(F267),F267*1,F267)))</f>
        <v>141827.59</v>
      </c>
      <c r="G68" s="9">
        <f>IF(G267="","",IF(样本池!$E$6="原币",G267,IF(ISNUMBER(G267),G267*1,G267)))</f>
        <v>8789.92</v>
      </c>
      <c r="H68" s="9">
        <f>IF(H267="","",IF(样本池!$E$6="原币",H267,IF(ISNUMBER(H267),H267*1,H267)))</f>
        <v>16215.25</v>
      </c>
      <c r="I68" s="9">
        <f>IF(I267="","",IF(样本池!$E$6="原币",I267,IF(ISNUMBER(I267),I267*1,I267)))</f>
        <v>91099.16</v>
      </c>
      <c r="J68" s="9">
        <f>IF(J267="","",IF(样本池!$E$6="原币",J267,IF(ISNUMBER(J267),J267*1,J267)))</f>
        <v>68568.14</v>
      </c>
      <c r="K68" s="9">
        <f>IF(K267="","",IF(样本池!$E$6="原币",K267,IF(ISNUMBER(K267),K267*1,K267)))</f>
        <v>19275.22</v>
      </c>
      <c r="L68" s="9">
        <f>IF(L267="","",IF(样本池!$E$6="原币",L267,IF(ISNUMBER(L267),L267*1,L267)))</f>
        <v>17670.37</v>
      </c>
    </row>
    <row r="69" spans="1:12" ht="16.5" x14ac:dyDescent="0.35">
      <c r="A69" s="8" t="s">
        <v>316</v>
      </c>
      <c r="B69" s="8" t="s">
        <v>320</v>
      </c>
      <c r="C69" s="9">
        <f>IF(C268="","",IF(样本池!$E$6="原币",C268,IF(ISNUMBER(C268),C268*1,C268)))</f>
        <v>18245.810000000001</v>
      </c>
      <c r="D69" s="9">
        <f>IF(D268="","",IF(样本池!$E$6="原币",D268,IF(ISNUMBER(D268),D268*1,D268)))</f>
        <v>19888.060000000001</v>
      </c>
      <c r="E69" s="9" t="str">
        <f>IF(E268="","",IF(样本池!$E$6="原币",E268,IF(ISNUMBER(E268),E268*1,E268)))</f>
        <v/>
      </c>
      <c r="F69" s="9" t="str">
        <f>IF(F268="","",IF(样本池!$E$6="原币",F268,IF(ISNUMBER(F268),F268*1,F268)))</f>
        <v/>
      </c>
      <c r="G69" s="9" t="str">
        <f>IF(G268="","",IF(样本池!$E$6="原币",G268,IF(ISNUMBER(G268),G268*1,G268)))</f>
        <v/>
      </c>
      <c r="H69" s="9" t="str">
        <f>IF(H268="","",IF(样本池!$E$6="原币",H268,IF(ISNUMBER(H268),H268*1,H268)))</f>
        <v/>
      </c>
      <c r="I69" s="9" t="str">
        <f>IF(I268="","",IF(样本池!$E$6="原币",I268,IF(ISNUMBER(I268),I268*1,I268)))</f>
        <v/>
      </c>
      <c r="J69" s="9" t="str">
        <f>IF(J268="","",IF(样本池!$E$6="原币",J268,IF(ISNUMBER(J268),J268*1,J268)))</f>
        <v/>
      </c>
      <c r="K69" s="9" t="str">
        <f>IF(K268="","",IF(样本池!$E$6="原币",K268,IF(ISNUMBER(K268),K268*1,K268)))</f>
        <v/>
      </c>
      <c r="L69" s="9" t="str">
        <f>IF(L268="","",IF(样本池!$E$6="原币",L268,IF(ISNUMBER(L268),L268*1,L268)))</f>
        <v/>
      </c>
    </row>
    <row r="70" spans="1:12" ht="16.5" x14ac:dyDescent="0.35">
      <c r="A70" s="8" t="s">
        <v>316</v>
      </c>
      <c r="B70" s="8" t="s">
        <v>321</v>
      </c>
      <c r="C70" s="9" t="str">
        <f>IF(C269="","",IF(样本池!$E$6="原币",C269,IF(ISNUMBER(C269),C269*1,C269)))</f>
        <v/>
      </c>
      <c r="D70" s="9" t="str">
        <f>IF(D269="","",IF(样本池!$E$6="原币",D269,IF(ISNUMBER(D269),D269*1,D269)))</f>
        <v/>
      </c>
      <c r="E70" s="9">
        <f>IF(E269="","",IF(样本池!$E$6="原币",E269,IF(ISNUMBER(E269),E269*1,E269)))</f>
        <v>2418.04</v>
      </c>
      <c r="F70" s="9">
        <f>IF(F269="","",IF(样本池!$E$6="原币",F269,IF(ISNUMBER(F269),F269*1,F269)))</f>
        <v>4676.97</v>
      </c>
      <c r="G70" s="9">
        <f>IF(G269="","",IF(样本池!$E$6="原币",G269,IF(ISNUMBER(G269),G269*1,G269)))</f>
        <v>979.02</v>
      </c>
      <c r="H70" s="9">
        <f>IF(H269="","",IF(样本池!$E$6="原币",H269,IF(ISNUMBER(H269),H269*1,H269)))</f>
        <v>1261.2</v>
      </c>
      <c r="I70" s="9" t="str">
        <f>IF(I269="","",IF(样本池!$E$6="原币",I269,IF(ISNUMBER(I269),I269*1,I269)))</f>
        <v/>
      </c>
      <c r="J70" s="9" t="str">
        <f>IF(J269="","",IF(样本池!$E$6="原币",J269,IF(ISNUMBER(J269),J269*1,J269)))</f>
        <v/>
      </c>
      <c r="K70" s="9" t="str">
        <f>IF(K269="","",IF(样本池!$E$6="原币",K269,IF(ISNUMBER(K269),K269*1,K269)))</f>
        <v/>
      </c>
      <c r="L70" s="9" t="str">
        <f>IF(L269="","",IF(样本池!$E$6="原币",L269,IF(ISNUMBER(L269),L269*1,L269)))</f>
        <v/>
      </c>
    </row>
    <row r="71" spans="1:12" ht="16.5" x14ac:dyDescent="0.35">
      <c r="A71" s="8" t="s">
        <v>316</v>
      </c>
      <c r="B71" s="8" t="s">
        <v>322</v>
      </c>
      <c r="C71" s="9" t="str">
        <f>IF(C270="","",IF(样本池!$E$6="原币",C270,IF(ISNUMBER(C270),C270*1,C270)))</f>
        <v/>
      </c>
      <c r="D71" s="9" t="str">
        <f>IF(D270="","",IF(样本池!$E$6="原币",D270,IF(ISNUMBER(D270),D270*1,D270)))</f>
        <v/>
      </c>
      <c r="E71" s="9" t="str">
        <f>IF(E270="","",IF(样本池!$E$6="原币",E270,IF(ISNUMBER(E270),E270*1,E270)))</f>
        <v/>
      </c>
      <c r="F71" s="9">
        <f>IF(F270="","",IF(样本池!$E$6="原币",F270,IF(ISNUMBER(F270),F270*1,F270)))</f>
        <v>4676.97</v>
      </c>
      <c r="G71" s="9" t="str">
        <f>IF(G270="","",IF(样本池!$E$6="原币",G270,IF(ISNUMBER(G270),G270*1,G270)))</f>
        <v/>
      </c>
      <c r="H71" s="9" t="str">
        <f>IF(H270="","",IF(样本池!$E$6="原币",H270,IF(ISNUMBER(H270),H270*1,H270)))</f>
        <v/>
      </c>
      <c r="I71" s="9" t="str">
        <f>IF(I270="","",IF(样本池!$E$6="原币",I270,IF(ISNUMBER(I270),I270*1,I270)))</f>
        <v/>
      </c>
      <c r="J71" s="9" t="str">
        <f>IF(J270="","",IF(样本池!$E$6="原币",J270,IF(ISNUMBER(J270),J270*1,J270)))</f>
        <v/>
      </c>
      <c r="K71" s="9" t="str">
        <f>IF(K270="","",IF(样本池!$E$6="原币",K270,IF(ISNUMBER(K270),K270*1,K270)))</f>
        <v/>
      </c>
      <c r="L71" s="9" t="str">
        <f>IF(L270="","",IF(样本池!$E$6="原币",L270,IF(ISNUMBER(L270),L270*1,L270)))</f>
        <v/>
      </c>
    </row>
    <row r="72" spans="1:12" ht="16.5" x14ac:dyDescent="0.35">
      <c r="A72" s="8" t="s">
        <v>316</v>
      </c>
      <c r="B72" s="8" t="s">
        <v>323</v>
      </c>
      <c r="C72" s="9" t="str">
        <f>IF(C271="","",IF(样本池!$E$6="原币",C271,IF(ISNUMBER(C271),C271*1,C271)))</f>
        <v/>
      </c>
      <c r="D72" s="9" t="str">
        <f>IF(D271="","",IF(样本池!$E$6="原币",D271,IF(ISNUMBER(D271),D271*1,D271)))</f>
        <v/>
      </c>
      <c r="E72" s="9" t="str">
        <f>IF(E271="","",IF(样本池!$E$6="原币",E271,IF(ISNUMBER(E271),E271*1,E271)))</f>
        <v/>
      </c>
      <c r="F72" s="9" t="str">
        <f>IF(F271="","",IF(样本池!$E$6="原币",F271,IF(ISNUMBER(F271),F271*1,F271)))</f>
        <v/>
      </c>
      <c r="G72" s="9" t="str">
        <f>IF(G271="","",IF(样本池!$E$6="原币",G271,IF(ISNUMBER(G271),G271*1,G271)))</f>
        <v/>
      </c>
      <c r="H72" s="9" t="str">
        <f>IF(H271="","",IF(样本池!$E$6="原币",H271,IF(ISNUMBER(H271),H271*1,H271)))</f>
        <v/>
      </c>
      <c r="I72" s="9" t="str">
        <f>IF(I271="","",IF(样本池!$E$6="原币",I271,IF(ISNUMBER(I271),I271*1,I271)))</f>
        <v/>
      </c>
      <c r="J72" s="9" t="str">
        <f>IF(J271="","",IF(样本池!$E$6="原币",J271,IF(ISNUMBER(J271),J271*1,J271)))</f>
        <v/>
      </c>
      <c r="K72" s="9" t="str">
        <f>IF(K271="","",IF(样本池!$E$6="原币",K271,IF(ISNUMBER(K271),K271*1,K271)))</f>
        <v/>
      </c>
      <c r="L72" s="9" t="str">
        <f>IF(L271="","",IF(样本池!$E$6="原币",L271,IF(ISNUMBER(L271),L271*1,L271)))</f>
        <v/>
      </c>
    </row>
    <row r="73" spans="1:12" ht="16.5" x14ac:dyDescent="0.35">
      <c r="A73" s="8" t="s">
        <v>316</v>
      </c>
      <c r="B73" s="8" t="s">
        <v>324</v>
      </c>
      <c r="C73" s="9">
        <f>IF(C272="","",IF(样本池!$E$6="原币",C272,IF(ISNUMBER(C272),C272*1,C272)))</f>
        <v>22533.61</v>
      </c>
      <c r="D73" s="9">
        <f>IF(D272="","",IF(样本池!$E$6="原币",D272,IF(ISNUMBER(D272),D272*1,D272)))</f>
        <v>18493.73</v>
      </c>
      <c r="E73" s="9" t="str">
        <f>IF(E272="","",IF(样本池!$E$6="原币",E272,IF(ISNUMBER(E272),E272*1,E272)))</f>
        <v/>
      </c>
      <c r="F73" s="9" t="str">
        <f>IF(F272="","",IF(样本池!$E$6="原币",F272,IF(ISNUMBER(F272),F272*1,F272)))</f>
        <v/>
      </c>
      <c r="G73" s="9" t="str">
        <f>IF(G272="","",IF(样本池!$E$6="原币",G272,IF(ISNUMBER(G272),G272*1,G272)))</f>
        <v/>
      </c>
      <c r="H73" s="9" t="str">
        <f>IF(H272="","",IF(样本池!$E$6="原币",H272,IF(ISNUMBER(H272),H272*1,H272)))</f>
        <v/>
      </c>
      <c r="I73" s="9" t="str">
        <f>IF(I272="","",IF(样本池!$E$6="原币",I272,IF(ISNUMBER(I272),I272*1,I272)))</f>
        <v/>
      </c>
      <c r="J73" s="9" t="str">
        <f>IF(J272="","",IF(样本池!$E$6="原币",J272,IF(ISNUMBER(J272),J272*1,J272)))</f>
        <v/>
      </c>
      <c r="K73" s="9">
        <f>IF(K272="","",IF(样本池!$E$6="原币",K272,IF(ISNUMBER(K272),K272*1,K272)))</f>
        <v>1097.5899999999999</v>
      </c>
      <c r="L73" s="9">
        <f>IF(L272="","",IF(样本池!$E$6="原币",L272,IF(ISNUMBER(L272),L272*1,L272)))</f>
        <v>185.19</v>
      </c>
    </row>
    <row r="74" spans="1:12" ht="16.5" x14ac:dyDescent="0.35">
      <c r="A74" s="8" t="s">
        <v>316</v>
      </c>
      <c r="B74" s="8" t="s">
        <v>325</v>
      </c>
      <c r="C74" s="9">
        <f>IF(C273="","",IF(样本池!$E$6="原币",C273,IF(ISNUMBER(C273),C273*1,C273)))</f>
        <v>3174.4</v>
      </c>
      <c r="D74" s="9">
        <f>IF(D273="","",IF(样本池!$E$6="原币",D273,IF(ISNUMBER(D273),D273*1,D273)))</f>
        <v>16197.54</v>
      </c>
      <c r="E74" s="9">
        <f>IF(E273="","",IF(样本池!$E$6="原币",E273,IF(ISNUMBER(E273),E273*1,E273)))</f>
        <v>166.09</v>
      </c>
      <c r="F74" s="9">
        <f>IF(F273="","",IF(样本池!$E$6="原币",F273,IF(ISNUMBER(F273),F273*1,F273)))</f>
        <v>231.81</v>
      </c>
      <c r="G74" s="9">
        <f>IF(G273="","",IF(样本池!$E$6="原币",G273,IF(ISNUMBER(G273),G273*1,G273)))</f>
        <v>1648.46</v>
      </c>
      <c r="H74" s="9">
        <f>IF(H273="","",IF(样本池!$E$6="原币",H273,IF(ISNUMBER(H273),H273*1,H273)))</f>
        <v>2788.82</v>
      </c>
      <c r="I74" s="9" t="str">
        <f>IF(I273="","",IF(样本池!$E$6="原币",I273,IF(ISNUMBER(I273),I273*1,I273)))</f>
        <v/>
      </c>
      <c r="J74" s="9" t="str">
        <f>IF(J273="","",IF(样本池!$E$6="原币",J273,IF(ISNUMBER(J273),J273*1,J273)))</f>
        <v/>
      </c>
      <c r="K74" s="9">
        <f>IF(K273="","",IF(样本池!$E$6="原币",K273,IF(ISNUMBER(K273),K273*1,K273)))</f>
        <v>5247.85</v>
      </c>
      <c r="L74" s="9">
        <f>IF(L273="","",IF(样本池!$E$6="原币",L273,IF(ISNUMBER(L273),L273*1,L273)))</f>
        <v>9364.43</v>
      </c>
    </row>
    <row r="75" spans="1:12" ht="16.5" x14ac:dyDescent="0.35">
      <c r="A75" s="8" t="s">
        <v>316</v>
      </c>
      <c r="B75" s="8" t="s">
        <v>326</v>
      </c>
      <c r="C75" s="9">
        <f>IF(C274="","",IF(样本池!$E$6="原币",C274,IF(ISNUMBER(C274),C274*1,C274)))</f>
        <v>2211.04</v>
      </c>
      <c r="D75" s="9">
        <f>IF(D274="","",IF(样本池!$E$6="原币",D274,IF(ISNUMBER(D274),D274*1,D274)))</f>
        <v>2406.94</v>
      </c>
      <c r="E75" s="9">
        <f>IF(E274="","",IF(样本池!$E$6="原币",E274,IF(ISNUMBER(E274),E274*1,E274)))</f>
        <v>747.92</v>
      </c>
      <c r="F75" s="9">
        <f>IF(F274="","",IF(样本池!$E$6="原币",F274,IF(ISNUMBER(F274),F274*1,F274)))</f>
        <v>632.6</v>
      </c>
      <c r="G75" s="9">
        <f>IF(G274="","",IF(样本池!$E$6="原币",G274,IF(ISNUMBER(G274),G274*1,G274)))</f>
        <v>3695.08</v>
      </c>
      <c r="H75" s="9">
        <f>IF(H274="","",IF(样本池!$E$6="原币",H274,IF(ISNUMBER(H274),H274*1,H274)))</f>
        <v>3259.34</v>
      </c>
      <c r="I75" s="9" t="str">
        <f>IF(I274="","",IF(样本池!$E$6="原币",I274,IF(ISNUMBER(I274),I274*1,I274)))</f>
        <v/>
      </c>
      <c r="J75" s="9" t="str">
        <f>IF(J274="","",IF(样本池!$E$6="原币",J274,IF(ISNUMBER(J274),J274*1,J274)))</f>
        <v/>
      </c>
      <c r="K75" s="9">
        <f>IF(K274="","",IF(样本池!$E$6="原币",K274,IF(ISNUMBER(K274),K274*1,K274)))</f>
        <v>14376.68</v>
      </c>
      <c r="L75" s="9">
        <f>IF(L274="","",IF(样本池!$E$6="原币",L274,IF(ISNUMBER(L274),L274*1,L274)))</f>
        <v>13569.89</v>
      </c>
    </row>
    <row r="76" spans="1:12" ht="16.5" x14ac:dyDescent="0.35">
      <c r="A76" s="8" t="s">
        <v>316</v>
      </c>
      <c r="B76" s="8" t="s">
        <v>327</v>
      </c>
      <c r="C76" s="9" t="str">
        <f>IF(C275="","",IF(样本池!$E$6="原币",C275,IF(ISNUMBER(C275),C275*1,C275)))</f>
        <v/>
      </c>
      <c r="D76" s="9" t="str">
        <f>IF(D275="","",IF(样本池!$E$6="原币",D275,IF(ISNUMBER(D275),D275*1,D275)))</f>
        <v/>
      </c>
      <c r="E76" s="9" t="str">
        <f>IF(E275="","",IF(样本池!$E$6="原币",E275,IF(ISNUMBER(E275),E275*1,E275)))</f>
        <v/>
      </c>
      <c r="F76" s="9" t="str">
        <f>IF(F275="","",IF(样本池!$E$6="原币",F275,IF(ISNUMBER(F275),F275*1,F275)))</f>
        <v/>
      </c>
      <c r="G76" s="9" t="str">
        <f>IF(G275="","",IF(样本池!$E$6="原币",G275,IF(ISNUMBER(G275),G275*1,G275)))</f>
        <v/>
      </c>
      <c r="H76" s="9" t="str">
        <f>IF(H275="","",IF(样本池!$E$6="原币",H275,IF(ISNUMBER(H275),H275*1,H275)))</f>
        <v/>
      </c>
      <c r="I76" s="9" t="str">
        <f>IF(I275="","",IF(样本池!$E$6="原币",I275,IF(ISNUMBER(I275),I275*1,I275)))</f>
        <v/>
      </c>
      <c r="J76" s="9">
        <f>IF(J275="","",IF(样本池!$E$6="原币",J275,IF(ISNUMBER(J275),J275*1,J275)))</f>
        <v>1016.54</v>
      </c>
      <c r="K76" s="9" t="str">
        <f>IF(K275="","",IF(样本池!$E$6="原币",K275,IF(ISNUMBER(K275),K275*1,K275)))</f>
        <v/>
      </c>
      <c r="L76" s="9" t="str">
        <f>IF(L275="","",IF(样本池!$E$6="原币",L275,IF(ISNUMBER(L275),L275*1,L275)))</f>
        <v/>
      </c>
    </row>
    <row r="77" spans="1:12" ht="16.5" x14ac:dyDescent="0.35">
      <c r="A77" s="8" t="s">
        <v>316</v>
      </c>
      <c r="B77" s="8" t="s">
        <v>328</v>
      </c>
      <c r="C77" s="9">
        <f>IF(C276="","",IF(样本池!$E$6="原币",C276,IF(ISNUMBER(C276),C276*1,C276)))</f>
        <v>258671.09</v>
      </c>
      <c r="D77" s="9">
        <f>IF(D276="","",IF(样本池!$E$6="原币",D276,IF(ISNUMBER(D276),D276*1,D276)))</f>
        <v>155767.60999999999</v>
      </c>
      <c r="E77" s="9">
        <f>IF(E276="","",IF(样本池!$E$6="原币",E276,IF(ISNUMBER(E276),E276*1,E276)))</f>
        <v>159049.16</v>
      </c>
      <c r="F77" s="9">
        <f>IF(F276="","",IF(样本池!$E$6="原币",F276,IF(ISNUMBER(F276),F276*1,F276)))</f>
        <v>157057.1</v>
      </c>
      <c r="G77" s="9">
        <f>IF(G276="","",IF(样本池!$E$6="原币",G276,IF(ISNUMBER(G276),G276*1,G276)))</f>
        <v>88997.6</v>
      </c>
      <c r="H77" s="9">
        <f>IF(H276="","",IF(样本池!$E$6="原币",H276,IF(ISNUMBER(H276),H276*1,H276)))</f>
        <v>49651.16</v>
      </c>
      <c r="I77" s="9">
        <f>IF(I276="","",IF(样本池!$E$6="原币",I276,IF(ISNUMBER(I276),I276*1,I276)))</f>
        <v>94912</v>
      </c>
      <c r="J77" s="9">
        <f>IF(J276="","",IF(样本池!$E$6="原币",J276,IF(ISNUMBER(J276),J276*1,J276)))</f>
        <v>69584.679999999993</v>
      </c>
      <c r="K77" s="9">
        <f>IF(K276="","",IF(样本池!$E$6="原币",K276,IF(ISNUMBER(K276),K276*1,K276)))</f>
        <v>39997.339999999997</v>
      </c>
      <c r="L77" s="9">
        <f>IF(L276="","",IF(样本池!$E$6="原币",L276,IF(ISNUMBER(L276),L276*1,L276)))</f>
        <v>40789.879999999997</v>
      </c>
    </row>
    <row r="78" spans="1:12" ht="16.5" x14ac:dyDescent="0.35">
      <c r="A78" s="8" t="s">
        <v>316</v>
      </c>
      <c r="B78" s="8" t="s">
        <v>329</v>
      </c>
      <c r="C78" s="9">
        <f>IF(C277="","",IF(样本池!$E$6="原币",C277,IF(ISNUMBER(C277),C277*1,C277)))</f>
        <v>935522.24</v>
      </c>
      <c r="D78" s="9">
        <f>IF(D277="","",IF(样本池!$E$6="原币",D277,IF(ISNUMBER(D277),D277*1,D277)))</f>
        <v>745918.8</v>
      </c>
      <c r="E78" s="9">
        <f>IF(E277="","",IF(样本池!$E$6="原币",E277,IF(ISNUMBER(E277),E277*1,E277)))</f>
        <v>608696</v>
      </c>
      <c r="F78" s="9">
        <f>IF(F277="","",IF(样本池!$E$6="原币",F277,IF(ISNUMBER(F277),F277*1,F277)))</f>
        <v>593674.77</v>
      </c>
      <c r="G78" s="9">
        <f>IF(G277="","",IF(样本池!$E$6="原币",G277,IF(ISNUMBER(G277),G277*1,G277)))</f>
        <v>503863.83</v>
      </c>
      <c r="H78" s="9">
        <f>IF(H277="","",IF(样本池!$E$6="原币",H277,IF(ISNUMBER(H277),H277*1,H277)))</f>
        <v>498382.17</v>
      </c>
      <c r="I78" s="9">
        <f>IF(I277="","",IF(样本池!$E$6="原币",I277,IF(ISNUMBER(I277),I277*1,I277)))</f>
        <v>344730.57</v>
      </c>
      <c r="J78" s="9">
        <f>IF(J277="","",IF(样本池!$E$6="原币",J277,IF(ISNUMBER(J277),J277*1,J277)))</f>
        <v>304463.40999999997</v>
      </c>
      <c r="K78" s="9">
        <f>IF(K277="","",IF(样本池!$E$6="原币",K277,IF(ISNUMBER(K277),K277*1,K277)))</f>
        <v>813506.92</v>
      </c>
      <c r="L78" s="9">
        <f>IF(L277="","",IF(样本池!$E$6="原币",L277,IF(ISNUMBER(L277),L277*1,L277)))</f>
        <v>740546.63</v>
      </c>
    </row>
    <row r="79" spans="1:12" ht="16.5" x14ac:dyDescent="0.35">
      <c r="A79" s="8" t="s">
        <v>330</v>
      </c>
      <c r="B79" s="8" t="s">
        <v>331</v>
      </c>
      <c r="C79" s="9">
        <f>IF(C278="","",IF(样本池!$E$6="原币",C278,IF(ISNUMBER(C278),C278*1,C278)))</f>
        <v>53615.89</v>
      </c>
      <c r="D79" s="9">
        <f>IF(D278="","",IF(样本池!$E$6="原币",D278,IF(ISNUMBER(D278),D278*1,D278)))</f>
        <v>53141.08</v>
      </c>
      <c r="E79" s="9">
        <f>IF(E278="","",IF(样本池!$E$6="原币",E278,IF(ISNUMBER(E278),E278*1,E278)))</f>
        <v>57058.69</v>
      </c>
      <c r="F79" s="9">
        <f>IF(F278="","",IF(样本池!$E$6="原币",F278,IF(ISNUMBER(F278),F278*1,F278)))</f>
        <v>57058.69</v>
      </c>
      <c r="G79" s="9">
        <f>IF(G278="","",IF(样本池!$E$6="原币",G278,IF(ISNUMBER(G278),G278*1,G278)))</f>
        <v>36829.24</v>
      </c>
      <c r="H79" s="9">
        <f>IF(H278="","",IF(样本池!$E$6="原币",H278,IF(ISNUMBER(H278),H278*1,H278)))</f>
        <v>37899.19</v>
      </c>
      <c r="I79" s="9">
        <f>IF(I278="","",IF(样本池!$E$6="原币",I278,IF(ISNUMBER(I278),I278*1,I278)))</f>
        <v>40246.9</v>
      </c>
      <c r="J79" s="9">
        <f>IF(J278="","",IF(样本池!$E$6="原币",J278,IF(ISNUMBER(J278),J278*1,J278)))</f>
        <v>40150</v>
      </c>
      <c r="K79" s="9">
        <f>IF(K278="","",IF(样本池!$E$6="原币",K278,IF(ISNUMBER(K278),K278*1,K278)))</f>
        <v>82145.149999999994</v>
      </c>
      <c r="L79" s="9">
        <f>IF(L278="","",IF(样本池!$E$6="原币",L278,IF(ISNUMBER(L278),L278*1,L278)))</f>
        <v>82189.149999999994</v>
      </c>
    </row>
    <row r="80" spans="1:12" ht="16.5" x14ac:dyDescent="0.35">
      <c r="A80" s="8" t="s">
        <v>330</v>
      </c>
      <c r="B80" s="8" t="s">
        <v>332</v>
      </c>
      <c r="C80" s="9">
        <f>IF(C279="","",IF(样本池!$E$6="原币",C279,IF(ISNUMBER(C279),C279*1,C279)))</f>
        <v>307320.52</v>
      </c>
      <c r="D80" s="9">
        <f>IF(D279="","",IF(样本池!$E$6="原币",D279,IF(ISNUMBER(D279),D279*1,D279)))</f>
        <v>297755.08</v>
      </c>
      <c r="E80" s="9">
        <f>IF(E279="","",IF(样本池!$E$6="原币",E279,IF(ISNUMBER(E279),E279*1,E279)))</f>
        <v>239532.56</v>
      </c>
      <c r="F80" s="9">
        <f>IF(F279="","",IF(样本池!$E$6="原币",F279,IF(ISNUMBER(F279),F279*1,F279)))</f>
        <v>241164.86</v>
      </c>
      <c r="G80" s="9">
        <f>IF(G279="","",IF(样本池!$E$6="原币",G279,IF(ISNUMBER(G279),G279*1,G279)))</f>
        <v>91827.29</v>
      </c>
      <c r="H80" s="9">
        <f>IF(H279="","",IF(样本池!$E$6="原币",H279,IF(ISNUMBER(H279),H279*1,H279)))</f>
        <v>113269.67</v>
      </c>
      <c r="I80" s="9">
        <f>IF(I279="","",IF(样本池!$E$6="原币",I279,IF(ISNUMBER(I279),I279*1,I279)))</f>
        <v>152034.41</v>
      </c>
      <c r="J80" s="9">
        <f>IF(J279="","",IF(样本池!$E$6="原币",J279,IF(ISNUMBER(J279),J279*1,J279)))</f>
        <v>152062.25</v>
      </c>
      <c r="K80" s="9">
        <f>IF(K279="","",IF(样本池!$E$6="原币",K279,IF(ISNUMBER(K279),K279*1,K279)))</f>
        <v>338054.69</v>
      </c>
      <c r="L80" s="9">
        <f>IF(L279="","",IF(样本池!$E$6="原币",L279,IF(ISNUMBER(L279),L279*1,L279)))</f>
        <v>331534.61</v>
      </c>
    </row>
    <row r="81" spans="1:12" ht="16.5" x14ac:dyDescent="0.35">
      <c r="A81" s="8" t="s">
        <v>330</v>
      </c>
      <c r="B81" s="8" t="s">
        <v>333</v>
      </c>
      <c r="C81" s="9" t="str">
        <f>IF(C280="","",IF(样本池!$E$6="原币",C280,IF(ISNUMBER(C280),C280*1,C280)))</f>
        <v/>
      </c>
      <c r="D81" s="9" t="str">
        <f>IF(D280="","",IF(样本池!$E$6="原币",D280,IF(ISNUMBER(D280),D280*1,D280)))</f>
        <v/>
      </c>
      <c r="E81" s="9">
        <f>IF(E280="","",IF(样本池!$E$6="原币",E280,IF(ISNUMBER(E280),E280*1,E280)))</f>
        <v>16667.21</v>
      </c>
      <c r="F81" s="9" t="str">
        <f>IF(F280="","",IF(样本池!$E$6="原币",F280,IF(ISNUMBER(F280),F280*1,F280)))</f>
        <v/>
      </c>
      <c r="G81" s="9" t="str">
        <f>IF(G280="","",IF(样本池!$E$6="原币",G280,IF(ISNUMBER(G280),G280*1,G280)))</f>
        <v/>
      </c>
      <c r="H81" s="9">
        <f>IF(H280="","",IF(样本池!$E$6="原币",H280,IF(ISNUMBER(H280),H280*1,H280)))</f>
        <v>7998.9</v>
      </c>
      <c r="I81" s="9">
        <f>IF(I280="","",IF(样本池!$E$6="原币",I280,IF(ISNUMBER(I280),I280*1,I280)))</f>
        <v>4386.5200000000004</v>
      </c>
      <c r="J81" s="9" t="str">
        <f>IF(J280="","",IF(样本池!$E$6="原币",J280,IF(ISNUMBER(J280),J280*1,J280)))</f>
        <v/>
      </c>
      <c r="K81" s="9">
        <f>IF(K280="","",IF(样本池!$E$6="原币",K280,IF(ISNUMBER(K280),K280*1,K280)))</f>
        <v>10060.74</v>
      </c>
      <c r="L81" s="9">
        <f>IF(L280="","",IF(样本池!$E$6="原币",L280,IF(ISNUMBER(L280),L280*1,L280)))</f>
        <v>11923.79</v>
      </c>
    </row>
    <row r="82" spans="1:12" ht="16.5" x14ac:dyDescent="0.35">
      <c r="A82" s="8" t="s">
        <v>330</v>
      </c>
      <c r="B82" s="8" t="s">
        <v>334</v>
      </c>
      <c r="C82" s="9">
        <f>IF(C281="","",IF(样本池!$E$6="原币",C281,IF(ISNUMBER(C281),C281*1,C281)))</f>
        <v>2332.0100000000002</v>
      </c>
      <c r="D82" s="9">
        <f>IF(D281="","",IF(样本池!$E$6="原币",D281,IF(ISNUMBER(D281),D281*1,D281)))</f>
        <v>-6882.82</v>
      </c>
      <c r="E82" s="9">
        <f>IF(E281="","",IF(样本池!$E$6="原币",E281,IF(ISNUMBER(E281),E281*1,E281)))</f>
        <v>-9428.5</v>
      </c>
      <c r="F82" s="9">
        <f>IF(F281="","",IF(样本池!$E$6="原币",F281,IF(ISNUMBER(F281),F281*1,F281)))</f>
        <v>-15818.02</v>
      </c>
      <c r="G82" s="9">
        <f>IF(G281="","",IF(样本池!$E$6="原币",G281,IF(ISNUMBER(G281),G281*1,G281)))</f>
        <v>1048.9000000000001</v>
      </c>
      <c r="H82" s="9">
        <f>IF(H281="","",IF(样本池!$E$6="原币",H281,IF(ISNUMBER(H281),H281*1,H281)))</f>
        <v>1850.75</v>
      </c>
      <c r="I82" s="9">
        <f>IF(I281="","",IF(样本池!$E$6="原币",I281,IF(ISNUMBER(I281),I281*1,I281)))</f>
        <v>3189.48</v>
      </c>
      <c r="J82" s="9">
        <f>IF(J281="","",IF(样本池!$E$6="原币",J281,IF(ISNUMBER(J281),J281*1,J281)))</f>
        <v>1431</v>
      </c>
      <c r="K82" s="9">
        <f>IF(K281="","",IF(样本池!$E$6="原币",K281,IF(ISNUMBER(K281),K281*1,K281)))</f>
        <v>-48090.76</v>
      </c>
      <c r="L82" s="9">
        <f>IF(L281="","",IF(样本池!$E$6="原币",L281,IF(ISNUMBER(L281),L281*1,L281)))</f>
        <v>-50412.39</v>
      </c>
    </row>
    <row r="83" spans="1:12" ht="16.5" x14ac:dyDescent="0.35">
      <c r="A83" s="8" t="s">
        <v>330</v>
      </c>
      <c r="B83" s="8" t="s">
        <v>335</v>
      </c>
      <c r="C83" s="9" t="str">
        <f>IF(C282="","",IF(样本池!$E$6="原币",C282,IF(ISNUMBER(C282),C282*1,C282)))</f>
        <v/>
      </c>
      <c r="D83" s="9" t="str">
        <f>IF(D282="","",IF(样本池!$E$6="原币",D282,IF(ISNUMBER(D282),D282*1,D282)))</f>
        <v/>
      </c>
      <c r="E83" s="9" t="str">
        <f>IF(E282="","",IF(样本池!$E$6="原币",E282,IF(ISNUMBER(E282),E282*1,E282)))</f>
        <v/>
      </c>
      <c r="F83" s="9" t="str">
        <f>IF(F282="","",IF(样本池!$E$6="原币",F282,IF(ISNUMBER(F282),F282*1,F282)))</f>
        <v/>
      </c>
      <c r="G83" s="9" t="str">
        <f>IF(G282="","",IF(样本池!$E$6="原币",G282,IF(ISNUMBER(G282),G282*1,G282)))</f>
        <v/>
      </c>
      <c r="H83" s="9" t="str">
        <f>IF(H282="","",IF(样本池!$E$6="原币",H282,IF(ISNUMBER(H282),H282*1,H282)))</f>
        <v/>
      </c>
      <c r="I83" s="9" t="str">
        <f>IF(I282="","",IF(样本池!$E$6="原币",I282,IF(ISNUMBER(I282),I282*1,I282)))</f>
        <v/>
      </c>
      <c r="J83" s="9" t="str">
        <f>IF(J282="","",IF(样本池!$E$6="原币",J282,IF(ISNUMBER(J282),J282*1,J282)))</f>
        <v/>
      </c>
      <c r="K83" s="9" t="str">
        <f>IF(K282="","",IF(样本池!$E$6="原币",K282,IF(ISNUMBER(K282),K282*1,K282)))</f>
        <v/>
      </c>
      <c r="L83" s="9" t="str">
        <f>IF(L282="","",IF(样本池!$E$6="原币",L282,IF(ISNUMBER(L282),L282*1,L282)))</f>
        <v/>
      </c>
    </row>
    <row r="84" spans="1:12" ht="16.5" x14ac:dyDescent="0.35">
      <c r="A84" s="8" t="s">
        <v>330</v>
      </c>
      <c r="B84" s="8" t="s">
        <v>336</v>
      </c>
      <c r="C84" s="9">
        <f>IF(C283="","",IF(样本池!$E$6="原币",C283,IF(ISNUMBER(C283),C283*1,C283)))</f>
        <v>26807.94</v>
      </c>
      <c r="D84" s="9">
        <f>IF(D283="","",IF(样本池!$E$6="原币",D283,IF(ISNUMBER(D283),D283*1,D283)))</f>
        <v>26570.54</v>
      </c>
      <c r="E84" s="9">
        <f>IF(E283="","",IF(样本池!$E$6="原币",E283,IF(ISNUMBER(E283),E283*1,E283)))</f>
        <v>27947.35</v>
      </c>
      <c r="F84" s="9">
        <f>IF(F283="","",IF(样本池!$E$6="原币",F283,IF(ISNUMBER(F283),F283*1,F283)))</f>
        <v>25429.19</v>
      </c>
      <c r="G84" s="9">
        <f>IF(G283="","",IF(样本池!$E$6="原币",G283,IF(ISNUMBER(G283),G283*1,G283)))</f>
        <v>21819.78</v>
      </c>
      <c r="H84" s="9">
        <f>IF(H283="","",IF(样本池!$E$6="原币",H283,IF(ISNUMBER(H283),H283*1,H283)))</f>
        <v>21819.78</v>
      </c>
      <c r="I84" s="9">
        <f>IF(I283="","",IF(样本池!$E$6="原币",I283,IF(ISNUMBER(I283),I283*1,I283)))</f>
        <v>14117.83</v>
      </c>
      <c r="J84" s="9">
        <f>IF(J283="","",IF(样本池!$E$6="原币",J283,IF(ISNUMBER(J283),J283*1,J283)))</f>
        <v>11919.02</v>
      </c>
      <c r="K84" s="9">
        <f>IF(K283="","",IF(样本池!$E$6="原币",K283,IF(ISNUMBER(K283),K283*1,K283)))</f>
        <v>42839.85</v>
      </c>
      <c r="L84" s="9">
        <f>IF(L283="","",IF(样本池!$E$6="原币",L283,IF(ISNUMBER(L283),L283*1,L283)))</f>
        <v>42839.85</v>
      </c>
    </row>
    <row r="85" spans="1:12" ht="16.5" x14ac:dyDescent="0.35">
      <c r="A85" s="8" t="s">
        <v>330</v>
      </c>
      <c r="B85" s="8" t="s">
        <v>337</v>
      </c>
      <c r="C85" s="9" t="str">
        <f>IF(C284="","",IF(样本池!$E$6="原币",C284,IF(ISNUMBER(C284),C284*1,C284)))</f>
        <v/>
      </c>
      <c r="D85" s="9" t="str">
        <f>IF(D284="","",IF(样本池!$E$6="原币",D284,IF(ISNUMBER(D284),D284*1,D284)))</f>
        <v/>
      </c>
      <c r="E85" s="9" t="str">
        <f>IF(E284="","",IF(样本池!$E$6="原币",E284,IF(ISNUMBER(E284),E284*1,E284)))</f>
        <v/>
      </c>
      <c r="F85" s="9" t="str">
        <f>IF(F284="","",IF(样本池!$E$6="原币",F284,IF(ISNUMBER(F284),F284*1,F284)))</f>
        <v/>
      </c>
      <c r="G85" s="9" t="str">
        <f>IF(G284="","",IF(样本池!$E$6="原币",G284,IF(ISNUMBER(G284),G284*1,G284)))</f>
        <v/>
      </c>
      <c r="H85" s="9" t="str">
        <f>IF(H284="","",IF(样本池!$E$6="原币",H284,IF(ISNUMBER(H284),H284*1,H284)))</f>
        <v/>
      </c>
      <c r="I85" s="9" t="str">
        <f>IF(I284="","",IF(样本池!$E$6="原币",I284,IF(ISNUMBER(I284),I284*1,I284)))</f>
        <v/>
      </c>
      <c r="J85" s="9" t="str">
        <f>IF(J284="","",IF(样本池!$E$6="原币",J284,IF(ISNUMBER(J284),J284*1,J284)))</f>
        <v/>
      </c>
      <c r="K85" s="9" t="str">
        <f>IF(K284="","",IF(样本池!$E$6="原币",K284,IF(ISNUMBER(K284),K284*1,K284)))</f>
        <v/>
      </c>
      <c r="L85" s="9" t="str">
        <f>IF(L284="","",IF(样本池!$E$6="原币",L284,IF(ISNUMBER(L284),L284*1,L284)))</f>
        <v/>
      </c>
    </row>
    <row r="86" spans="1:12" ht="16.5" x14ac:dyDescent="0.35">
      <c r="A86" s="8" t="s">
        <v>330</v>
      </c>
      <c r="B86" s="8" t="s">
        <v>338</v>
      </c>
      <c r="C86" s="9">
        <f>IF(C285="","",IF(样本池!$E$6="原币",C285,IF(ISNUMBER(C285),C285*1,C285)))</f>
        <v>662234.48</v>
      </c>
      <c r="D86" s="9">
        <f>IF(D285="","",IF(样本池!$E$6="原币",D285,IF(ISNUMBER(D285),D285*1,D285)))</f>
        <v>525220.46</v>
      </c>
      <c r="E86" s="9">
        <f>IF(E285="","",IF(样本池!$E$6="原币",E285,IF(ISNUMBER(E285),E285*1,E285)))</f>
        <v>51480.14</v>
      </c>
      <c r="F86" s="9">
        <f>IF(F285="","",IF(样本池!$E$6="原币",F285,IF(ISNUMBER(F285),F285*1,F285)))</f>
        <v>54980.54</v>
      </c>
      <c r="G86" s="9">
        <f>IF(G285="","",IF(样本池!$E$6="原币",G285,IF(ISNUMBER(G285),G285*1,G285)))</f>
        <v>204447.02</v>
      </c>
      <c r="H86" s="9">
        <f>IF(H285="","",IF(样本池!$E$6="原币",H285,IF(ISNUMBER(H285),H285*1,H285)))</f>
        <v>209933.16</v>
      </c>
      <c r="I86" s="9">
        <f>IF(I285="","",IF(样本池!$E$6="原币",I285,IF(ISNUMBER(I285),I285*1,I285)))</f>
        <v>132524.73000000001</v>
      </c>
      <c r="J86" s="9">
        <f>IF(J285="","",IF(样本池!$E$6="原币",J285,IF(ISNUMBER(J285),J285*1,J285)))</f>
        <v>117151.03999999999</v>
      </c>
      <c r="K86" s="9">
        <f>IF(K285="","",IF(样本池!$E$6="原币",K285,IF(ISNUMBER(K285),K285*1,K285)))</f>
        <v>653808.35</v>
      </c>
      <c r="L86" s="9">
        <f>IF(L285="","",IF(样本池!$E$6="原币",L285,IF(ISNUMBER(L285),L285*1,L285)))</f>
        <v>590260.06999999995</v>
      </c>
    </row>
    <row r="87" spans="1:12" ht="16.5" x14ac:dyDescent="0.35">
      <c r="A87" s="8" t="s">
        <v>330</v>
      </c>
      <c r="B87" s="8" t="s">
        <v>339</v>
      </c>
      <c r="C87" s="9">
        <f>IF(C286="","",IF(样本池!$E$6="原币",C286,IF(ISNUMBER(C286),C286*1,C286)))</f>
        <v>1052760.33</v>
      </c>
      <c r="D87" s="9">
        <f>IF(D286="","",IF(样本池!$E$6="原币",D286,IF(ISNUMBER(D286),D286*1,D286)))</f>
        <v>895804.34</v>
      </c>
      <c r="E87" s="9">
        <f>IF(E286="","",IF(样本池!$E$6="原币",E286,IF(ISNUMBER(E286),E286*1,E286)))</f>
        <v>349923.02</v>
      </c>
      <c r="F87" s="9">
        <f>IF(F286="","",IF(样本池!$E$6="原币",F286,IF(ISNUMBER(F286),F286*1,F286)))</f>
        <v>362815.26</v>
      </c>
      <c r="G87" s="9">
        <f>IF(G286="","",IF(样本池!$E$6="原币",G286,IF(ISNUMBER(G286),G286*1,G286)))</f>
        <v>355972.23</v>
      </c>
      <c r="H87" s="9">
        <f>IF(H286="","",IF(样本池!$E$6="原币",H286,IF(ISNUMBER(H286),H286*1,H286)))</f>
        <v>376773.64</v>
      </c>
      <c r="I87" s="9">
        <f>IF(I286="","",IF(样本池!$E$6="原币",I286,IF(ISNUMBER(I286),I286*1,I286)))</f>
        <v>337726.83</v>
      </c>
      <c r="J87" s="9">
        <f>IF(J286="","",IF(样本池!$E$6="原币",J286,IF(ISNUMBER(J286),J286*1,J286)))</f>
        <v>322713.31</v>
      </c>
      <c r="K87" s="9">
        <f>IF(K286="","",IF(样本池!$E$6="原币",K286,IF(ISNUMBER(K286),K286*1,K286)))</f>
        <v>1058696.55</v>
      </c>
      <c r="L87" s="9">
        <f>IF(L286="","",IF(样本池!$E$6="原币",L286,IF(ISNUMBER(L286),L286*1,L286)))</f>
        <v>984487.5</v>
      </c>
    </row>
    <row r="88" spans="1:12" ht="16.5" x14ac:dyDescent="0.35">
      <c r="A88" s="8" t="s">
        <v>330</v>
      </c>
      <c r="B88" s="8" t="s">
        <v>219</v>
      </c>
      <c r="C88" s="9">
        <f>IF(C287="","",IF(样本池!$E$6="原币",C287,IF(ISNUMBER(C287),C287*1,C287)))</f>
        <v>18406.68</v>
      </c>
      <c r="D88" s="9">
        <f>IF(D287="","",IF(样本池!$E$6="原币",D287,IF(ISNUMBER(D287),D287*1,D287)))</f>
        <v>18647.59</v>
      </c>
      <c r="E88" s="9">
        <f>IF(E287="","",IF(样本池!$E$6="原币",E287,IF(ISNUMBER(E287),E287*1,E287)))</f>
        <v>4123.25</v>
      </c>
      <c r="F88" s="9">
        <f>IF(F287="","",IF(样本池!$E$6="原币",F287,IF(ISNUMBER(F287),F287*1,F287)))</f>
        <v>5786.93</v>
      </c>
      <c r="G88" s="9">
        <f>IF(G287="","",IF(样本池!$E$6="原币",G287,IF(ISNUMBER(G287),G287*1,G287)))</f>
        <v>5584.34</v>
      </c>
      <c r="H88" s="9">
        <f>IF(H287="","",IF(样本池!$E$6="原币",H287,IF(ISNUMBER(H287),H287*1,H287)))</f>
        <v>15322.38</v>
      </c>
      <c r="I88" s="9" t="str">
        <f>IF(I287="","",IF(样本池!$E$6="原币",I287,IF(ISNUMBER(I287),I287*1,I287)))</f>
        <v/>
      </c>
      <c r="J88" s="9" t="str">
        <f>IF(J287="","",IF(样本池!$E$6="原币",J287,IF(ISNUMBER(J287),J287*1,J287)))</f>
        <v/>
      </c>
      <c r="K88" s="9">
        <f>IF(K287="","",IF(样本池!$E$6="原币",K287,IF(ISNUMBER(K287),K287*1,K287)))</f>
        <v>30890.68</v>
      </c>
      <c r="L88" s="9">
        <f>IF(L287="","",IF(样本池!$E$6="原币",L287,IF(ISNUMBER(L287),L287*1,L287)))</f>
        <v>24251.33</v>
      </c>
    </row>
    <row r="89" spans="1:12" ht="16.5" x14ac:dyDescent="0.35">
      <c r="A89" s="8" t="s">
        <v>330</v>
      </c>
      <c r="B89" s="8" t="s">
        <v>340</v>
      </c>
      <c r="C89" s="9">
        <f>IF(C288="","",IF(样本池!$E$6="原币",C288,IF(ISNUMBER(C288),C288*1,C288)))</f>
        <v>1071167</v>
      </c>
      <c r="D89" s="9">
        <f>IF(D288="","",IF(样本池!$E$6="原币",D288,IF(ISNUMBER(D288),D288*1,D288)))</f>
        <v>914451.92</v>
      </c>
      <c r="E89" s="9">
        <f>IF(E288="","",IF(样本池!$E$6="原币",E288,IF(ISNUMBER(E288),E288*1,E288)))</f>
        <v>354046.27</v>
      </c>
      <c r="F89" s="9">
        <f>IF(F288="","",IF(样本池!$E$6="原币",F288,IF(ISNUMBER(F288),F288*1,F288)))</f>
        <v>368602.19</v>
      </c>
      <c r="G89" s="9">
        <f>IF(G288="","",IF(样本池!$E$6="原币",G288,IF(ISNUMBER(G288),G288*1,G288)))</f>
        <v>361556.57</v>
      </c>
      <c r="H89" s="9">
        <f>IF(H288="","",IF(样本池!$E$6="原币",H288,IF(ISNUMBER(H288),H288*1,H288)))</f>
        <v>392096.02</v>
      </c>
      <c r="I89" s="9">
        <f>IF(I288="","",IF(样本池!$E$6="原币",I288,IF(ISNUMBER(I288),I288*1,I288)))</f>
        <v>337726.83</v>
      </c>
      <c r="J89" s="9">
        <f>IF(J288="","",IF(样本池!$E$6="原币",J288,IF(ISNUMBER(J288),J288*1,J288)))</f>
        <v>322713.31</v>
      </c>
      <c r="K89" s="9">
        <f>IF(K288="","",IF(样本池!$E$6="原币",K288,IF(ISNUMBER(K288),K288*1,K288)))</f>
        <v>1089587.23</v>
      </c>
      <c r="L89" s="9">
        <f>IF(L288="","",IF(样本池!$E$6="原币",L288,IF(ISNUMBER(L288),L288*1,L288)))</f>
        <v>1008738.83</v>
      </c>
    </row>
    <row r="90" spans="1:12" ht="16.5" x14ac:dyDescent="0.35">
      <c r="A90" s="8" t="s">
        <v>330</v>
      </c>
      <c r="B90" s="8" t="s">
        <v>341</v>
      </c>
      <c r="C90" s="9">
        <f>IF(C289="","",IF(样本池!$E$6="原币",C289,IF(ISNUMBER(C289),C289*1,C289)))</f>
        <v>2006689.25</v>
      </c>
      <c r="D90" s="9">
        <f>IF(D289="","",IF(样本池!$E$6="原币",D289,IF(ISNUMBER(D289),D289*1,D289)))</f>
        <v>1660370.73</v>
      </c>
      <c r="E90" s="9">
        <f>IF(E289="","",IF(样本池!$E$6="原币",E289,IF(ISNUMBER(E289),E289*1,E289)))</f>
        <v>962742.27</v>
      </c>
      <c r="F90" s="9">
        <f>IF(F289="","",IF(样本池!$E$6="原币",F289,IF(ISNUMBER(F289),F289*1,F289)))</f>
        <v>962276.96</v>
      </c>
      <c r="G90" s="9">
        <f>IF(G289="","",IF(样本池!$E$6="原币",G289,IF(ISNUMBER(G289),G289*1,G289)))</f>
        <v>865420.4</v>
      </c>
      <c r="H90" s="9">
        <f>IF(H289="","",IF(样本池!$E$6="原币",H289,IF(ISNUMBER(H289),H289*1,H289)))</f>
        <v>890478.19</v>
      </c>
      <c r="I90" s="9">
        <f>IF(I289="","",IF(样本池!$E$6="原币",I289,IF(ISNUMBER(I289),I289*1,I289)))</f>
        <v>682457.39</v>
      </c>
      <c r="J90" s="9">
        <f>IF(J289="","",IF(样本池!$E$6="原币",J289,IF(ISNUMBER(J289),J289*1,J289)))</f>
        <v>627176.73</v>
      </c>
      <c r="K90" s="9">
        <f>IF(K289="","",IF(样本池!$E$6="原币",K289,IF(ISNUMBER(K289),K289*1,K289)))</f>
        <v>1903094.15</v>
      </c>
      <c r="L90" s="9">
        <f>IF(L289="","",IF(样本池!$E$6="原币",L289,IF(ISNUMBER(L289),L289*1,L289)))</f>
        <v>1749285.47</v>
      </c>
    </row>
    <row r="200" spans="3:12" ht="13.5" hidden="1" customHeight="1" x14ac:dyDescent="0.15"/>
    <row r="201" spans="3:12" ht="13.5" hidden="1" customHeight="1" x14ac:dyDescent="0.15"/>
    <row r="202" spans="3:12" ht="13.5" hidden="1" customHeight="1" x14ac:dyDescent="0.15">
      <c r="C202">
        <v>365650.93</v>
      </c>
      <c r="D202">
        <v>253358.39</v>
      </c>
      <c r="E202">
        <v>108885.53</v>
      </c>
      <c r="F202">
        <v>100628.3</v>
      </c>
      <c r="G202">
        <v>216123.19</v>
      </c>
      <c r="H202">
        <v>234244.18</v>
      </c>
      <c r="I202">
        <v>66668.289999999994</v>
      </c>
      <c r="J202">
        <v>68705.14</v>
      </c>
      <c r="K202">
        <v>256891.54</v>
      </c>
      <c r="L202">
        <v>255015.47</v>
      </c>
    </row>
    <row r="203" spans="3:12" ht="13.5" hidden="1" customHeight="1" x14ac:dyDescent="0.15">
      <c r="C203">
        <v>246699.57</v>
      </c>
      <c r="D203">
        <v>233070.76</v>
      </c>
      <c r="F203">
        <v>9084.76</v>
      </c>
      <c r="G203">
        <v>10707.5</v>
      </c>
      <c r="I203">
        <v>57563.37</v>
      </c>
      <c r="J203">
        <v>38756.44</v>
      </c>
      <c r="K203">
        <v>136064.54</v>
      </c>
      <c r="L203">
        <v>66173.87</v>
      </c>
    </row>
    <row r="204" spans="3:12" ht="13.5" hidden="1" customHeight="1" x14ac:dyDescent="0.15">
      <c r="C204">
        <v>13168.59</v>
      </c>
      <c r="I204">
        <v>591.89</v>
      </c>
      <c r="J204">
        <v>275.08</v>
      </c>
    </row>
    <row r="205" spans="3:12" ht="13.5" hidden="1" customHeight="1" x14ac:dyDescent="0.15">
      <c r="C205">
        <v>187262.35</v>
      </c>
      <c r="D205">
        <v>165420.01</v>
      </c>
      <c r="E205">
        <v>145782.47</v>
      </c>
      <c r="F205">
        <v>146731.95000000001</v>
      </c>
      <c r="G205">
        <v>97895.84</v>
      </c>
      <c r="H205">
        <v>110241.77</v>
      </c>
      <c r="I205">
        <v>74900.14</v>
      </c>
      <c r="J205">
        <v>28271</v>
      </c>
      <c r="K205">
        <v>186967.6</v>
      </c>
      <c r="L205">
        <v>147653.38</v>
      </c>
    </row>
    <row r="206" spans="3:12" ht="13.5" hidden="1" customHeight="1" x14ac:dyDescent="0.15">
      <c r="G206">
        <v>85.5</v>
      </c>
    </row>
    <row r="207" spans="3:12" ht="13.5" hidden="1" customHeight="1" x14ac:dyDescent="0.15">
      <c r="C207">
        <v>187262.35</v>
      </c>
      <c r="D207">
        <v>165420.01</v>
      </c>
      <c r="E207">
        <v>145782.47</v>
      </c>
      <c r="F207">
        <v>146731.95000000001</v>
      </c>
      <c r="G207">
        <v>97810.34</v>
      </c>
      <c r="H207">
        <v>110241.77</v>
      </c>
      <c r="I207">
        <v>74900.14</v>
      </c>
      <c r="J207">
        <v>28271</v>
      </c>
      <c r="K207">
        <v>186967.6</v>
      </c>
      <c r="L207">
        <v>147653.38</v>
      </c>
    </row>
    <row r="208" spans="3:12" ht="13.5" hidden="1" customHeight="1" x14ac:dyDescent="0.15">
      <c r="E208">
        <v>2501.16</v>
      </c>
      <c r="F208">
        <v>17.47</v>
      </c>
      <c r="G208">
        <v>838.17</v>
      </c>
      <c r="H208">
        <v>1157.01</v>
      </c>
      <c r="K208">
        <v>54.57</v>
      </c>
    </row>
    <row r="209" spans="3:12" ht="13.5" hidden="1" customHeight="1" x14ac:dyDescent="0.15">
      <c r="C209">
        <v>7035.01</v>
      </c>
      <c r="D209">
        <v>1695.53</v>
      </c>
      <c r="E209">
        <v>11188.23</v>
      </c>
      <c r="F209">
        <v>7744.53</v>
      </c>
      <c r="G209">
        <v>11800.08</v>
      </c>
      <c r="H209">
        <v>9858.06</v>
      </c>
      <c r="I209">
        <v>5662</v>
      </c>
      <c r="J209">
        <v>3954.41</v>
      </c>
      <c r="K209">
        <v>15202.93</v>
      </c>
      <c r="L209">
        <v>10272.99</v>
      </c>
    </row>
    <row r="210" spans="3:12" ht="13.5" hidden="1" customHeight="1" x14ac:dyDescent="0.15">
      <c r="C210">
        <v>14183.33</v>
      </c>
      <c r="D210">
        <v>12661.22</v>
      </c>
      <c r="E210">
        <v>8464.32</v>
      </c>
      <c r="F210">
        <v>9102.9599999999991</v>
      </c>
      <c r="G210">
        <v>8722.15</v>
      </c>
      <c r="H210">
        <v>11339.22</v>
      </c>
      <c r="I210">
        <v>28032.77</v>
      </c>
      <c r="J210">
        <v>30775.52</v>
      </c>
      <c r="K210">
        <v>27056.36</v>
      </c>
      <c r="L210">
        <v>18731.13</v>
      </c>
    </row>
    <row r="211" spans="3:12" ht="13.5" hidden="1" customHeight="1" x14ac:dyDescent="0.15"/>
    <row r="212" spans="3:12" ht="13.5" hidden="1" customHeight="1" x14ac:dyDescent="0.15">
      <c r="L212">
        <v>3281.11</v>
      </c>
    </row>
    <row r="213" spans="3:12" ht="13.5" hidden="1" customHeight="1" x14ac:dyDescent="0.15">
      <c r="D213">
        <v>12661.22</v>
      </c>
      <c r="F213">
        <v>9102.9599999999991</v>
      </c>
      <c r="H213">
        <v>11339.22</v>
      </c>
      <c r="J213">
        <v>30775.52</v>
      </c>
      <c r="L213">
        <v>15450.02</v>
      </c>
    </row>
    <row r="214" spans="3:12" ht="13.5" hidden="1" customHeight="1" x14ac:dyDescent="0.15"/>
    <row r="215" spans="3:12" ht="13.5" hidden="1" customHeight="1" x14ac:dyDescent="0.15">
      <c r="C215">
        <v>499711.9</v>
      </c>
      <c r="D215">
        <v>323355.42</v>
      </c>
      <c r="E215">
        <v>178122.52</v>
      </c>
      <c r="F215">
        <v>164394.93</v>
      </c>
      <c r="G215">
        <v>88044.23</v>
      </c>
      <c r="H215">
        <v>89669.22</v>
      </c>
      <c r="I215">
        <v>127738.28</v>
      </c>
      <c r="J215">
        <v>132358.22</v>
      </c>
      <c r="K215">
        <v>226767.37</v>
      </c>
      <c r="L215">
        <v>221133.73</v>
      </c>
    </row>
    <row r="216" spans="3:12" ht="13.5" hidden="1" customHeight="1" x14ac:dyDescent="0.15"/>
    <row r="217" spans="3:12" ht="13.5" hidden="1" customHeight="1" x14ac:dyDescent="0.15">
      <c r="I217">
        <v>106993.82</v>
      </c>
      <c r="J217">
        <v>28131.34</v>
      </c>
      <c r="K217">
        <v>14604.63</v>
      </c>
    </row>
    <row r="218" spans="3:12" ht="13.5" hidden="1" customHeight="1" x14ac:dyDescent="0.15"/>
    <row r="219" spans="3:12" ht="13.5" hidden="1" customHeight="1" x14ac:dyDescent="0.15"/>
    <row r="220" spans="3:12" ht="13.5" hidden="1" customHeight="1" x14ac:dyDescent="0.15">
      <c r="C220">
        <v>274940.98</v>
      </c>
      <c r="D220">
        <v>247193.61</v>
      </c>
      <c r="E220">
        <v>6651.62</v>
      </c>
      <c r="F220">
        <v>4583.13</v>
      </c>
      <c r="G220">
        <v>27208.28</v>
      </c>
      <c r="H220">
        <v>30567.31</v>
      </c>
      <c r="I220">
        <v>34396.01</v>
      </c>
      <c r="J220">
        <v>29072.31</v>
      </c>
      <c r="K220">
        <v>46355.5</v>
      </c>
      <c r="L220">
        <v>22868.46</v>
      </c>
    </row>
    <row r="221" spans="3:12" ht="13.5" hidden="1" customHeight="1" x14ac:dyDescent="0.15">
      <c r="C221">
        <v>1608652.66</v>
      </c>
      <c r="D221">
        <v>1236754.93</v>
      </c>
      <c r="E221">
        <v>461595.83</v>
      </c>
      <c r="F221">
        <v>442288.03</v>
      </c>
      <c r="G221">
        <v>464651.51</v>
      </c>
      <c r="H221">
        <v>488325.45</v>
      </c>
      <c r="I221">
        <v>502546.57</v>
      </c>
      <c r="J221">
        <v>360299.45</v>
      </c>
      <c r="K221">
        <v>909965.05</v>
      </c>
      <c r="L221">
        <v>741849.04</v>
      </c>
    </row>
    <row r="222" spans="3:12" ht="13.5" hidden="1" customHeight="1" x14ac:dyDescent="0.15"/>
    <row r="223" spans="3:12" ht="13.5" hidden="1" customHeight="1" x14ac:dyDescent="0.15"/>
    <row r="224" spans="3:12" ht="13.5" hidden="1" customHeight="1" x14ac:dyDescent="0.15">
      <c r="I224">
        <v>42373.9</v>
      </c>
      <c r="J224">
        <v>160414.76</v>
      </c>
    </row>
    <row r="225" spans="3:12" ht="13.5" hidden="1" customHeight="1" x14ac:dyDescent="0.15">
      <c r="G225">
        <v>337.56</v>
      </c>
      <c r="H225">
        <v>951.21</v>
      </c>
      <c r="I225">
        <v>11859.62</v>
      </c>
    </row>
    <row r="226" spans="3:12" ht="13.5" hidden="1" customHeight="1" x14ac:dyDescent="0.15">
      <c r="C226">
        <v>58196.959999999999</v>
      </c>
      <c r="D226">
        <v>52543.53</v>
      </c>
      <c r="E226">
        <v>6070.81</v>
      </c>
      <c r="F226">
        <v>5645.74</v>
      </c>
      <c r="G226">
        <v>23411.119999999999</v>
      </c>
      <c r="H226">
        <v>25190.84</v>
      </c>
      <c r="I226">
        <v>7186.18</v>
      </c>
      <c r="K226">
        <v>4588.62</v>
      </c>
      <c r="L226">
        <v>4260.1099999999997</v>
      </c>
    </row>
    <row r="227" spans="3:12" ht="13.5" hidden="1" customHeight="1" x14ac:dyDescent="0.15">
      <c r="C227">
        <v>1068.9100000000001</v>
      </c>
      <c r="D227">
        <v>1158.6099999999999</v>
      </c>
      <c r="E227">
        <v>1503.85</v>
      </c>
      <c r="F227">
        <v>2869.02</v>
      </c>
      <c r="K227">
        <v>70262.86</v>
      </c>
      <c r="L227">
        <v>72721.73</v>
      </c>
    </row>
    <row r="228" spans="3:12" ht="13.5" hidden="1" customHeight="1" x14ac:dyDescent="0.15">
      <c r="C228">
        <v>530.38</v>
      </c>
      <c r="D228">
        <v>149276.17000000001</v>
      </c>
      <c r="E228">
        <v>20648.53</v>
      </c>
      <c r="F228">
        <v>15337.47</v>
      </c>
      <c r="G228">
        <v>24539.93</v>
      </c>
      <c r="H228">
        <v>4702.55</v>
      </c>
      <c r="J228">
        <v>48.47</v>
      </c>
      <c r="K228">
        <v>37224.769999999997</v>
      </c>
      <c r="L228">
        <v>44242.15</v>
      </c>
    </row>
    <row r="229" spans="3:12" ht="13.5" hidden="1" customHeight="1" x14ac:dyDescent="0.15">
      <c r="D229">
        <v>149276.17000000001</v>
      </c>
      <c r="H229">
        <v>4702.55</v>
      </c>
      <c r="J229">
        <v>48.47</v>
      </c>
      <c r="L229">
        <v>44242.15</v>
      </c>
    </row>
    <row r="230" spans="3:12" ht="13.5" hidden="1" customHeight="1" x14ac:dyDescent="0.15"/>
    <row r="231" spans="3:12" ht="13.5" hidden="1" customHeight="1" x14ac:dyDescent="0.15">
      <c r="C231">
        <v>178407.84</v>
      </c>
      <c r="D231">
        <v>12731.6</v>
      </c>
      <c r="E231">
        <v>222729.73</v>
      </c>
      <c r="F231">
        <v>226184.03</v>
      </c>
      <c r="G231">
        <v>216435.27</v>
      </c>
      <c r="H231">
        <v>220743.28</v>
      </c>
      <c r="I231">
        <v>5661.51</v>
      </c>
      <c r="J231">
        <v>5809.42</v>
      </c>
      <c r="K231">
        <v>582565.05000000005</v>
      </c>
      <c r="L231">
        <v>594741.96</v>
      </c>
    </row>
    <row r="232" spans="3:12" ht="13.5" hidden="1" customHeight="1" x14ac:dyDescent="0.15">
      <c r="C232">
        <v>178407.84</v>
      </c>
      <c r="D232">
        <v>12731.6</v>
      </c>
      <c r="E232">
        <v>222729.73</v>
      </c>
      <c r="F232">
        <v>226184.03</v>
      </c>
      <c r="G232">
        <v>216392.74</v>
      </c>
      <c r="H232">
        <v>220717.26</v>
      </c>
      <c r="I232">
        <v>5661.51</v>
      </c>
      <c r="J232">
        <v>5809.42</v>
      </c>
      <c r="K232">
        <v>582565.05000000005</v>
      </c>
      <c r="L232">
        <v>594741.96</v>
      </c>
    </row>
    <row r="233" spans="3:12" ht="13.5" hidden="1" customHeight="1" x14ac:dyDescent="0.15">
      <c r="H233">
        <v>26.03</v>
      </c>
    </row>
    <row r="234" spans="3:12" ht="13.5" hidden="1" customHeight="1" x14ac:dyDescent="0.15"/>
    <row r="235" spans="3:12" ht="13.5" hidden="1" customHeight="1" x14ac:dyDescent="0.15"/>
    <row r="236" spans="3:12" ht="13.5" hidden="1" customHeight="1" x14ac:dyDescent="0.15"/>
    <row r="237" spans="3:12" ht="13.5" hidden="1" customHeight="1" x14ac:dyDescent="0.15">
      <c r="C237">
        <v>32030.22</v>
      </c>
      <c r="D237">
        <v>11627.48</v>
      </c>
      <c r="E237">
        <v>133477.51</v>
      </c>
      <c r="F237">
        <v>143966.70000000001</v>
      </c>
      <c r="G237">
        <v>16094.69</v>
      </c>
      <c r="H237">
        <v>23216.48</v>
      </c>
      <c r="I237">
        <v>88526.080000000002</v>
      </c>
      <c r="J237">
        <v>78728.06</v>
      </c>
      <c r="K237">
        <v>32612.38</v>
      </c>
      <c r="L237">
        <v>33787.93</v>
      </c>
    </row>
    <row r="238" spans="3:12" ht="13.5" hidden="1" customHeight="1" x14ac:dyDescent="0.15">
      <c r="C238">
        <v>5259.44</v>
      </c>
      <c r="D238">
        <v>3722.44</v>
      </c>
      <c r="E238">
        <v>18216.47</v>
      </c>
      <c r="F238">
        <v>18943.45</v>
      </c>
      <c r="G238">
        <v>33762.559999999998</v>
      </c>
      <c r="H238">
        <v>32822.800000000003</v>
      </c>
      <c r="I238">
        <v>1539.58</v>
      </c>
      <c r="J238">
        <v>1245.5999999999999</v>
      </c>
      <c r="K238">
        <v>101206.19</v>
      </c>
      <c r="L238">
        <v>94184.99</v>
      </c>
    </row>
    <row r="239" spans="3:12" ht="13.5" hidden="1" customHeight="1" x14ac:dyDescent="0.15"/>
    <row r="240" spans="3:12" ht="13.5" hidden="1" customHeight="1" x14ac:dyDescent="0.15">
      <c r="E240">
        <v>20987.97</v>
      </c>
      <c r="F240">
        <v>24458.5</v>
      </c>
      <c r="G240">
        <v>16963.13</v>
      </c>
      <c r="H240">
        <v>19512.09</v>
      </c>
      <c r="K240">
        <v>36271.629999999997</v>
      </c>
      <c r="L240">
        <v>27481.85</v>
      </c>
    </row>
    <row r="241" spans="3:12" ht="13.5" hidden="1" customHeight="1" x14ac:dyDescent="0.15">
      <c r="C241">
        <v>7031.13</v>
      </c>
      <c r="D241">
        <v>2891.42</v>
      </c>
      <c r="E241">
        <v>39493.42</v>
      </c>
      <c r="F241">
        <v>42217.49</v>
      </c>
      <c r="G241">
        <v>32455.65</v>
      </c>
      <c r="H241">
        <v>36754.03</v>
      </c>
      <c r="I241">
        <v>720.36</v>
      </c>
      <c r="J241">
        <v>1030.23</v>
      </c>
      <c r="K241">
        <v>5264.19</v>
      </c>
      <c r="L241">
        <v>7429</v>
      </c>
    </row>
    <row r="242" spans="3:12" ht="13.5" hidden="1" customHeight="1" x14ac:dyDescent="0.15">
      <c r="C242">
        <v>44010.7</v>
      </c>
      <c r="D242">
        <v>54385.760000000002</v>
      </c>
      <c r="E242">
        <v>31090.720000000001</v>
      </c>
      <c r="F242">
        <v>29498.47</v>
      </c>
      <c r="G242">
        <v>24520.7</v>
      </c>
      <c r="H242">
        <v>23323.73</v>
      </c>
      <c r="I242">
        <v>7216.63</v>
      </c>
      <c r="J242">
        <v>6729.03</v>
      </c>
      <c r="K242">
        <v>48044.94</v>
      </c>
      <c r="L242">
        <v>37974.44</v>
      </c>
    </row>
    <row r="243" spans="3:12" ht="13.5" hidden="1" customHeight="1" x14ac:dyDescent="0.15">
      <c r="C243">
        <v>11820.46</v>
      </c>
      <c r="D243">
        <v>8246.07</v>
      </c>
      <c r="E243">
        <v>2650.14</v>
      </c>
      <c r="F243">
        <v>5430.93</v>
      </c>
      <c r="G243">
        <v>9606.4599999999991</v>
      </c>
      <c r="H243">
        <v>6767.03</v>
      </c>
      <c r="I243">
        <v>12952.54</v>
      </c>
      <c r="J243">
        <v>11371.71</v>
      </c>
      <c r="K243">
        <v>68781.289999999994</v>
      </c>
      <c r="L243">
        <v>76017.649999999994</v>
      </c>
    </row>
    <row r="244" spans="3:12" ht="13.5" hidden="1" customHeight="1" x14ac:dyDescent="0.15">
      <c r="C244">
        <v>398036.58</v>
      </c>
      <c r="D244">
        <v>423615.79</v>
      </c>
      <c r="E244">
        <v>501146.44</v>
      </c>
      <c r="F244">
        <v>519988.92</v>
      </c>
      <c r="G244">
        <v>400768.89</v>
      </c>
      <c r="H244">
        <v>402152.74</v>
      </c>
      <c r="I244">
        <v>179910.82</v>
      </c>
      <c r="J244">
        <v>266877.27</v>
      </c>
      <c r="K244">
        <v>993129.1</v>
      </c>
      <c r="L244">
        <v>1007436.42</v>
      </c>
    </row>
    <row r="245" spans="3:12" ht="13.5" hidden="1" customHeight="1" x14ac:dyDescent="0.15">
      <c r="C245">
        <v>2006689.25</v>
      </c>
      <c r="D245">
        <v>1660370.73</v>
      </c>
      <c r="E245">
        <v>962742.27</v>
      </c>
      <c r="F245">
        <v>962276.96</v>
      </c>
      <c r="G245">
        <v>865420.4</v>
      </c>
      <c r="H245">
        <v>890478.19</v>
      </c>
      <c r="I245">
        <v>682457.39</v>
      </c>
      <c r="J245">
        <v>627176.73</v>
      </c>
      <c r="K245">
        <v>1903094.15</v>
      </c>
      <c r="L245">
        <v>1749285.47</v>
      </c>
    </row>
    <row r="246" spans="3:12" ht="13.5" hidden="1" customHeight="1" x14ac:dyDescent="0.15">
      <c r="C246">
        <v>56731.83</v>
      </c>
      <c r="D246">
        <v>45337.440000000002</v>
      </c>
      <c r="E246">
        <v>183376.94</v>
      </c>
      <c r="F246">
        <v>183373.93</v>
      </c>
      <c r="G246">
        <v>112503.28</v>
      </c>
      <c r="H246">
        <v>139138.18</v>
      </c>
      <c r="I246">
        <v>129716.32</v>
      </c>
      <c r="J246">
        <v>128409</v>
      </c>
      <c r="K246">
        <v>55796.75</v>
      </c>
      <c r="L246">
        <v>128544.78</v>
      </c>
    </row>
    <row r="247" spans="3:12" ht="13.5" hidden="1" customHeight="1" x14ac:dyDescent="0.15">
      <c r="C247">
        <v>1895.85</v>
      </c>
      <c r="D247">
        <v>4190.38</v>
      </c>
      <c r="F247">
        <v>542.44000000000005</v>
      </c>
    </row>
    <row r="248" spans="3:12" ht="13.5" hidden="1" customHeight="1" x14ac:dyDescent="0.15">
      <c r="C248">
        <v>231336.18</v>
      </c>
      <c r="D248">
        <v>224590.09</v>
      </c>
      <c r="E248">
        <v>172803.56</v>
      </c>
      <c r="F248">
        <v>163055.9</v>
      </c>
      <c r="G248">
        <v>214409.35</v>
      </c>
      <c r="H248">
        <v>220797.29</v>
      </c>
      <c r="I248">
        <v>53646.54</v>
      </c>
      <c r="J248">
        <v>49654.16</v>
      </c>
      <c r="K248">
        <v>339055.57</v>
      </c>
      <c r="L248">
        <v>178402.25</v>
      </c>
    </row>
    <row r="249" spans="3:12" ht="13.5" hidden="1" customHeight="1" x14ac:dyDescent="0.15">
      <c r="C249">
        <v>44285.52</v>
      </c>
      <c r="D249">
        <v>46754.17</v>
      </c>
      <c r="E249">
        <v>4000</v>
      </c>
      <c r="F249">
        <v>3000</v>
      </c>
      <c r="G249">
        <v>48990.28</v>
      </c>
      <c r="H249">
        <v>49404.77</v>
      </c>
      <c r="I249">
        <v>2490.8200000000002</v>
      </c>
      <c r="J249">
        <v>6732.83</v>
      </c>
      <c r="K249">
        <v>150441.99</v>
      </c>
      <c r="L249">
        <v>820.8</v>
      </c>
    </row>
    <row r="250" spans="3:12" ht="13.5" hidden="1" customHeight="1" x14ac:dyDescent="0.15">
      <c r="C250">
        <v>187050.66</v>
      </c>
      <c r="D250">
        <v>177835.92</v>
      </c>
      <c r="E250">
        <v>168803.56</v>
      </c>
      <c r="F250">
        <v>160055.9</v>
      </c>
      <c r="G250">
        <v>165419.07</v>
      </c>
      <c r="H250">
        <v>171392.51</v>
      </c>
      <c r="I250">
        <v>51155.72</v>
      </c>
      <c r="J250">
        <v>42921.33</v>
      </c>
      <c r="K250">
        <v>188613.58</v>
      </c>
      <c r="L250">
        <v>177581.44</v>
      </c>
    </row>
    <row r="251" spans="3:12" ht="13.5" hidden="1" customHeight="1" x14ac:dyDescent="0.15">
      <c r="I251">
        <v>40.28</v>
      </c>
      <c r="J251">
        <v>59.71</v>
      </c>
      <c r="K251">
        <v>1032.6199999999999</v>
      </c>
      <c r="L251">
        <v>288.37</v>
      </c>
    </row>
    <row r="252" spans="3:12" ht="13.5" hidden="1" customHeight="1" x14ac:dyDescent="0.15"/>
    <row r="253" spans="3:12" ht="13.5" hidden="1" customHeight="1" x14ac:dyDescent="0.15">
      <c r="C253">
        <v>125086.13</v>
      </c>
      <c r="D253">
        <v>137665.70000000001</v>
      </c>
      <c r="E253">
        <v>11708.62</v>
      </c>
      <c r="F253">
        <v>12388.57</v>
      </c>
      <c r="G253">
        <v>8173.49</v>
      </c>
      <c r="H253">
        <v>8239.59</v>
      </c>
      <c r="I253">
        <v>8155.66</v>
      </c>
      <c r="J253">
        <v>8004.38</v>
      </c>
      <c r="K253">
        <v>68442.990000000005</v>
      </c>
      <c r="L253">
        <v>58818.53</v>
      </c>
    </row>
    <row r="254" spans="3:12" ht="13.5" hidden="1" customHeight="1" x14ac:dyDescent="0.15">
      <c r="C254">
        <v>53247.7</v>
      </c>
      <c r="D254">
        <v>40103.94</v>
      </c>
      <c r="E254">
        <v>7225.03</v>
      </c>
      <c r="F254">
        <v>6212.94</v>
      </c>
      <c r="G254">
        <v>5345.4</v>
      </c>
      <c r="H254">
        <v>8615.01</v>
      </c>
      <c r="I254">
        <v>12671.87</v>
      </c>
      <c r="J254">
        <v>10900.07</v>
      </c>
      <c r="K254">
        <v>34717.949999999997</v>
      </c>
      <c r="L254">
        <v>31245.29</v>
      </c>
    </row>
    <row r="255" spans="3:12" ht="13.5" hidden="1" customHeight="1" x14ac:dyDescent="0.15">
      <c r="C255">
        <v>91709.37</v>
      </c>
      <c r="D255">
        <v>72856</v>
      </c>
      <c r="E255">
        <v>11420.54</v>
      </c>
      <c r="F255">
        <v>10694.94</v>
      </c>
      <c r="G255">
        <v>12138.59</v>
      </c>
      <c r="H255">
        <v>7621.71</v>
      </c>
      <c r="I255">
        <v>21417.759999999998</v>
      </c>
      <c r="J255">
        <v>15226.88</v>
      </c>
      <c r="K255">
        <v>91070.42</v>
      </c>
      <c r="L255">
        <v>71243.05</v>
      </c>
    </row>
    <row r="256" spans="3:12" ht="13.5" hidden="1" customHeight="1" x14ac:dyDescent="0.15"/>
    <row r="257" spans="3:12" ht="13.5" hidden="1" customHeight="1" x14ac:dyDescent="0.15">
      <c r="E257">
        <v>1000</v>
      </c>
      <c r="F257">
        <v>4652.93</v>
      </c>
      <c r="K257">
        <v>9924.94</v>
      </c>
      <c r="L257">
        <v>4612.46</v>
      </c>
    </row>
    <row r="258" spans="3:12" ht="13.5" hidden="1" customHeight="1" x14ac:dyDescent="0.15">
      <c r="D258">
        <v>72856</v>
      </c>
      <c r="F258">
        <v>6042.01</v>
      </c>
      <c r="H258">
        <v>7621.71</v>
      </c>
      <c r="J258">
        <v>15226.88</v>
      </c>
      <c r="L258">
        <v>66630.59</v>
      </c>
    </row>
    <row r="259" spans="3:12" ht="13.5" hidden="1" customHeight="1" x14ac:dyDescent="0.15"/>
    <row r="260" spans="3:12" ht="13.5" hidden="1" customHeight="1" x14ac:dyDescent="0.15"/>
    <row r="261" spans="3:12" ht="13.5" hidden="1" customHeight="1" x14ac:dyDescent="0.15"/>
    <row r="262" spans="3:12" ht="13.5" hidden="1" customHeight="1" x14ac:dyDescent="0.15">
      <c r="C262">
        <v>22644.36</v>
      </c>
      <c r="D262">
        <v>19660.78</v>
      </c>
      <c r="E262">
        <v>43824.11</v>
      </c>
      <c r="F262">
        <v>42212.38</v>
      </c>
      <c r="G262">
        <v>45823.7</v>
      </c>
      <c r="H262">
        <v>40181.480000000003</v>
      </c>
      <c r="I262">
        <v>18028.37</v>
      </c>
      <c r="J262">
        <v>15829.44</v>
      </c>
      <c r="K262">
        <v>7720.36</v>
      </c>
      <c r="L262">
        <v>9185.92</v>
      </c>
    </row>
    <row r="263" spans="3:12" ht="13.5" hidden="1" customHeight="1" x14ac:dyDescent="0.15">
      <c r="C263">
        <v>34708.74</v>
      </c>
      <c r="D263">
        <v>29174.49</v>
      </c>
      <c r="E263">
        <v>797.02</v>
      </c>
      <c r="F263">
        <v>696.73</v>
      </c>
      <c r="G263">
        <v>1406.63</v>
      </c>
      <c r="H263">
        <v>2538.39</v>
      </c>
      <c r="I263">
        <v>3367.28</v>
      </c>
      <c r="J263">
        <v>2152.9699999999998</v>
      </c>
      <c r="K263">
        <v>9675.0499999999993</v>
      </c>
      <c r="L263">
        <v>16889.71</v>
      </c>
    </row>
    <row r="264" spans="3:12" ht="13.5" hidden="1" customHeight="1" x14ac:dyDescent="0.15">
      <c r="C264">
        <v>676851.15</v>
      </c>
      <c r="D264">
        <v>590151.18999999994</v>
      </c>
      <c r="E264">
        <v>449646.85</v>
      </c>
      <c r="F264">
        <v>436617.67</v>
      </c>
      <c r="G264">
        <v>414866.24</v>
      </c>
      <c r="H264">
        <v>448731.01</v>
      </c>
      <c r="I264">
        <v>249818.57</v>
      </c>
      <c r="J264">
        <v>234878.73</v>
      </c>
      <c r="K264">
        <v>773509.57</v>
      </c>
      <c r="L264">
        <v>699756.75</v>
      </c>
    </row>
    <row r="265" spans="3:12" ht="13.5" hidden="1" customHeight="1" x14ac:dyDescent="0.15">
      <c r="C265">
        <v>78133.2</v>
      </c>
      <c r="D265">
        <v>92491.5</v>
      </c>
      <c r="E265">
        <v>23845.22</v>
      </c>
      <c r="F265">
        <v>9688.1200000000008</v>
      </c>
      <c r="G265">
        <v>73885.11</v>
      </c>
      <c r="H265">
        <v>26126.560000000001</v>
      </c>
      <c r="I265">
        <v>3812.84</v>
      </c>
    </row>
    <row r="266" spans="3:12" ht="13.5" hidden="1" customHeight="1" x14ac:dyDescent="0.15">
      <c r="C266">
        <v>109739.98</v>
      </c>
    </row>
    <row r="267" spans="3:12" ht="13.5" hidden="1" customHeight="1" x14ac:dyDescent="0.15">
      <c r="C267">
        <v>24633.06</v>
      </c>
      <c r="D267">
        <v>6289.85</v>
      </c>
      <c r="E267">
        <v>131871.89000000001</v>
      </c>
      <c r="F267">
        <v>141827.59</v>
      </c>
      <c r="G267">
        <v>8789.92</v>
      </c>
      <c r="H267">
        <v>16215.25</v>
      </c>
      <c r="I267">
        <v>91099.16</v>
      </c>
      <c r="J267">
        <v>68568.14</v>
      </c>
      <c r="K267">
        <v>19275.22</v>
      </c>
      <c r="L267">
        <v>17670.37</v>
      </c>
    </row>
    <row r="268" spans="3:12" ht="13.5" hidden="1" customHeight="1" x14ac:dyDescent="0.15">
      <c r="C268">
        <v>18245.810000000001</v>
      </c>
      <c r="D268">
        <v>19888.060000000001</v>
      </c>
    </row>
    <row r="269" spans="3:12" ht="13.5" hidden="1" customHeight="1" x14ac:dyDescent="0.15">
      <c r="E269">
        <v>2418.04</v>
      </c>
      <c r="F269">
        <v>4676.97</v>
      </c>
      <c r="G269">
        <v>979.02</v>
      </c>
      <c r="H269">
        <v>1261.2</v>
      </c>
    </row>
    <row r="270" spans="3:12" ht="13.5" hidden="1" customHeight="1" x14ac:dyDescent="0.15">
      <c r="F270">
        <v>4676.97</v>
      </c>
    </row>
    <row r="271" spans="3:12" ht="13.5" hidden="1" customHeight="1" x14ac:dyDescent="0.15"/>
    <row r="272" spans="3:12" ht="13.5" hidden="1" customHeight="1" x14ac:dyDescent="0.15">
      <c r="C272">
        <v>22533.61</v>
      </c>
      <c r="D272">
        <v>18493.73</v>
      </c>
      <c r="K272">
        <v>1097.5899999999999</v>
      </c>
      <c r="L272">
        <v>185.19</v>
      </c>
    </row>
    <row r="273" spans="3:12" ht="13.5" hidden="1" customHeight="1" x14ac:dyDescent="0.15">
      <c r="C273">
        <v>3174.4</v>
      </c>
      <c r="D273">
        <v>16197.54</v>
      </c>
      <c r="E273">
        <v>166.09</v>
      </c>
      <c r="F273">
        <v>231.81</v>
      </c>
      <c r="G273">
        <v>1648.46</v>
      </c>
      <c r="H273">
        <v>2788.82</v>
      </c>
      <c r="K273">
        <v>5247.85</v>
      </c>
      <c r="L273">
        <v>9364.43</v>
      </c>
    </row>
    <row r="274" spans="3:12" ht="13.5" hidden="1" customHeight="1" x14ac:dyDescent="0.15">
      <c r="C274">
        <v>2211.04</v>
      </c>
      <c r="D274">
        <v>2406.94</v>
      </c>
      <c r="E274">
        <v>747.92</v>
      </c>
      <c r="F274">
        <v>632.6</v>
      </c>
      <c r="G274">
        <v>3695.08</v>
      </c>
      <c r="H274">
        <v>3259.34</v>
      </c>
      <c r="K274">
        <v>14376.68</v>
      </c>
      <c r="L274">
        <v>13569.89</v>
      </c>
    </row>
    <row r="275" spans="3:12" ht="13.5" hidden="1" customHeight="1" x14ac:dyDescent="0.15">
      <c r="J275">
        <v>1016.54</v>
      </c>
    </row>
    <row r="276" spans="3:12" ht="13.5" hidden="1" customHeight="1" x14ac:dyDescent="0.15">
      <c r="C276">
        <v>258671.09</v>
      </c>
      <c r="D276">
        <v>155767.60999999999</v>
      </c>
      <c r="E276">
        <v>159049.16</v>
      </c>
      <c r="F276">
        <v>157057.1</v>
      </c>
      <c r="G276">
        <v>88997.6</v>
      </c>
      <c r="H276">
        <v>49651.16</v>
      </c>
      <c r="I276">
        <v>94912</v>
      </c>
      <c r="J276">
        <v>69584.679999999993</v>
      </c>
      <c r="K276">
        <v>39997.339999999997</v>
      </c>
      <c r="L276">
        <v>40789.879999999997</v>
      </c>
    </row>
    <row r="277" spans="3:12" ht="13.5" hidden="1" customHeight="1" x14ac:dyDescent="0.15">
      <c r="C277">
        <v>935522.24</v>
      </c>
      <c r="D277">
        <v>745918.8</v>
      </c>
      <c r="E277">
        <v>608696</v>
      </c>
      <c r="F277">
        <v>593674.77</v>
      </c>
      <c r="G277">
        <v>503863.83</v>
      </c>
      <c r="H277">
        <v>498382.17</v>
      </c>
      <c r="I277">
        <v>344730.57</v>
      </c>
      <c r="J277">
        <v>304463.40999999997</v>
      </c>
      <c r="K277">
        <v>813506.92</v>
      </c>
      <c r="L277">
        <v>740546.63</v>
      </c>
    </row>
    <row r="278" spans="3:12" ht="13.5" hidden="1" customHeight="1" x14ac:dyDescent="0.15">
      <c r="C278">
        <v>53615.89</v>
      </c>
      <c r="D278">
        <v>53141.08</v>
      </c>
      <c r="E278">
        <v>57058.69</v>
      </c>
      <c r="F278">
        <v>57058.69</v>
      </c>
      <c r="G278">
        <v>36829.24</v>
      </c>
      <c r="H278">
        <v>37899.19</v>
      </c>
      <c r="I278">
        <v>40246.9</v>
      </c>
      <c r="J278">
        <v>40150</v>
      </c>
      <c r="K278">
        <v>82145.149999999994</v>
      </c>
      <c r="L278">
        <v>82189.149999999994</v>
      </c>
    </row>
    <row r="279" spans="3:12" ht="13.5" hidden="1" customHeight="1" x14ac:dyDescent="0.15">
      <c r="C279">
        <v>307320.52</v>
      </c>
      <c r="D279">
        <v>297755.08</v>
      </c>
      <c r="E279">
        <v>239532.56</v>
      </c>
      <c r="F279">
        <v>241164.86</v>
      </c>
      <c r="G279">
        <v>91827.29</v>
      </c>
      <c r="H279">
        <v>113269.67</v>
      </c>
      <c r="I279">
        <v>152034.41</v>
      </c>
      <c r="J279">
        <v>152062.25</v>
      </c>
      <c r="K279">
        <v>338054.69</v>
      </c>
      <c r="L279">
        <v>331534.61</v>
      </c>
    </row>
    <row r="280" spans="3:12" ht="13.5" hidden="1" customHeight="1" x14ac:dyDescent="0.15">
      <c r="E280">
        <v>16667.21</v>
      </c>
      <c r="H280">
        <v>7998.9</v>
      </c>
      <c r="I280">
        <v>4386.5200000000004</v>
      </c>
      <c r="K280">
        <v>10060.74</v>
      </c>
      <c r="L280">
        <v>11923.79</v>
      </c>
    </row>
    <row r="281" spans="3:12" ht="13.5" hidden="1" customHeight="1" x14ac:dyDescent="0.15">
      <c r="C281">
        <v>2332.0100000000002</v>
      </c>
      <c r="D281">
        <v>-6882.82</v>
      </c>
      <c r="E281">
        <v>-9428.5</v>
      </c>
      <c r="F281">
        <v>-15818.02</v>
      </c>
      <c r="G281">
        <v>1048.9000000000001</v>
      </c>
      <c r="H281">
        <v>1850.75</v>
      </c>
      <c r="I281">
        <v>3189.48</v>
      </c>
      <c r="J281">
        <v>1431</v>
      </c>
      <c r="K281">
        <v>-48090.76</v>
      </c>
      <c r="L281">
        <v>-50412.39</v>
      </c>
    </row>
    <row r="282" spans="3:12" ht="13.5" hidden="1" customHeight="1" x14ac:dyDescent="0.15"/>
    <row r="283" spans="3:12" ht="13.5" hidden="1" customHeight="1" x14ac:dyDescent="0.15">
      <c r="C283">
        <v>26807.94</v>
      </c>
      <c r="D283">
        <v>26570.54</v>
      </c>
      <c r="E283">
        <v>27947.35</v>
      </c>
      <c r="F283">
        <v>25429.19</v>
      </c>
      <c r="G283">
        <v>21819.78</v>
      </c>
      <c r="H283">
        <v>21819.78</v>
      </c>
      <c r="I283">
        <v>14117.83</v>
      </c>
      <c r="J283">
        <v>11919.02</v>
      </c>
      <c r="K283">
        <v>42839.85</v>
      </c>
      <c r="L283">
        <v>42839.85</v>
      </c>
    </row>
    <row r="284" spans="3:12" ht="13.5" hidden="1" customHeight="1" x14ac:dyDescent="0.15"/>
    <row r="285" spans="3:12" ht="13.5" hidden="1" customHeight="1" x14ac:dyDescent="0.15">
      <c r="C285">
        <v>662234.48</v>
      </c>
      <c r="D285">
        <v>525220.46</v>
      </c>
      <c r="E285">
        <v>51480.14</v>
      </c>
      <c r="F285">
        <v>54980.54</v>
      </c>
      <c r="G285">
        <v>204447.02</v>
      </c>
      <c r="H285">
        <v>209933.16</v>
      </c>
      <c r="I285">
        <v>132524.73000000001</v>
      </c>
      <c r="J285">
        <v>117151.03999999999</v>
      </c>
      <c r="K285">
        <v>653808.35</v>
      </c>
      <c r="L285">
        <v>590260.06999999995</v>
      </c>
    </row>
    <row r="286" spans="3:12" ht="13.5" hidden="1" customHeight="1" x14ac:dyDescent="0.15">
      <c r="C286">
        <v>1052760.33</v>
      </c>
      <c r="D286">
        <v>895804.34</v>
      </c>
      <c r="E286">
        <v>349923.02</v>
      </c>
      <c r="F286">
        <v>362815.26</v>
      </c>
      <c r="G286">
        <v>355972.23</v>
      </c>
      <c r="H286">
        <v>376773.64</v>
      </c>
      <c r="I286">
        <v>337726.83</v>
      </c>
      <c r="J286">
        <v>322713.31</v>
      </c>
      <c r="K286">
        <v>1058696.55</v>
      </c>
      <c r="L286">
        <v>984487.5</v>
      </c>
    </row>
    <row r="287" spans="3:12" ht="13.5" hidden="1" customHeight="1" x14ac:dyDescent="0.15">
      <c r="C287">
        <v>18406.68</v>
      </c>
      <c r="D287">
        <v>18647.59</v>
      </c>
      <c r="E287">
        <v>4123.25</v>
      </c>
      <c r="F287">
        <v>5786.93</v>
      </c>
      <c r="G287">
        <v>5584.34</v>
      </c>
      <c r="H287">
        <v>15322.38</v>
      </c>
      <c r="K287">
        <v>30890.68</v>
      </c>
      <c r="L287">
        <v>24251.33</v>
      </c>
    </row>
    <row r="288" spans="3:12" ht="13.5" hidden="1" customHeight="1" x14ac:dyDescent="0.15">
      <c r="C288">
        <v>1071167</v>
      </c>
      <c r="D288">
        <v>914451.92</v>
      </c>
      <c r="E288">
        <v>354046.27</v>
      </c>
      <c r="F288">
        <v>368602.19</v>
      </c>
      <c r="G288">
        <v>361556.57</v>
      </c>
      <c r="H288">
        <v>392096.02</v>
      </c>
      <c r="I288">
        <v>337726.83</v>
      </c>
      <c r="J288">
        <v>322713.31</v>
      </c>
      <c r="K288">
        <v>1089587.23</v>
      </c>
      <c r="L288">
        <v>1008738.83</v>
      </c>
    </row>
    <row r="289" spans="3:12" ht="13.5" hidden="1" customHeight="1" x14ac:dyDescent="0.15">
      <c r="C289">
        <v>2006689.25</v>
      </c>
      <c r="D289">
        <v>1660370.73</v>
      </c>
      <c r="E289">
        <v>962742.27</v>
      </c>
      <c r="F289">
        <v>962276.96</v>
      </c>
      <c r="G289">
        <v>865420.4</v>
      </c>
      <c r="H289">
        <v>890478.19</v>
      </c>
      <c r="I289">
        <v>682457.39</v>
      </c>
      <c r="J289">
        <v>627176.73</v>
      </c>
      <c r="K289">
        <v>1903094.15</v>
      </c>
      <c r="L289">
        <v>1749285.47</v>
      </c>
    </row>
  </sheetData>
  <mergeCells count="5">
    <mergeCell ref="C1:D1"/>
    <mergeCell ref="E1:F1"/>
    <mergeCell ref="G1:H1"/>
    <mergeCell ref="I1:J1"/>
    <mergeCell ref="K1:L1"/>
  </mergeCells>
  <phoneticPr fontId="7" type="noConversion"/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L23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spans="1:12" ht="21.95" customHeight="1" x14ac:dyDescent="0.15">
      <c r="A1" s="5" t="s">
        <v>528</v>
      </c>
      <c r="B1" s="5" t="s">
        <v>14</v>
      </c>
      <c r="C1" s="190" t="s">
        <v>144</v>
      </c>
      <c r="D1" s="191"/>
      <c r="E1" s="190" t="s">
        <v>497</v>
      </c>
      <c r="F1" s="191"/>
      <c r="G1" s="190" t="s">
        <v>498</v>
      </c>
      <c r="H1" s="191"/>
      <c r="I1" s="190" t="s">
        <v>499</v>
      </c>
      <c r="J1" s="191"/>
      <c r="K1" s="190" t="s">
        <v>500</v>
      </c>
      <c r="L1" s="191"/>
    </row>
    <row r="2" spans="1:12" ht="20.100000000000001" customHeight="1" x14ac:dyDescent="0.35">
      <c r="A2" s="6"/>
      <c r="B2" s="6"/>
      <c r="C2" s="7">
        <v>46022</v>
      </c>
      <c r="D2" s="7">
        <v>45657</v>
      </c>
      <c r="E2" s="7">
        <v>46022</v>
      </c>
      <c r="F2" s="7">
        <v>45657</v>
      </c>
      <c r="G2" s="7">
        <v>46022</v>
      </c>
      <c r="H2" s="7">
        <v>45657</v>
      </c>
      <c r="I2" s="7">
        <v>46022</v>
      </c>
      <c r="J2" s="7">
        <v>45657</v>
      </c>
      <c r="K2" s="7">
        <v>46022</v>
      </c>
      <c r="L2" s="7">
        <v>45657</v>
      </c>
    </row>
    <row r="3" spans="1:12" ht="33" x14ac:dyDescent="0.35">
      <c r="A3" s="16" t="s">
        <v>145</v>
      </c>
      <c r="B3" s="8" t="s">
        <v>146</v>
      </c>
      <c r="C3" s="9">
        <f>IF(C202="","",IF(样本池!$E$6="原币",C202,IF(ISNUMBER(C202),C202*1,C202)))</f>
        <v>3051440.34</v>
      </c>
      <c r="D3" s="9">
        <f>IF(D202="","",IF(样本池!$E$6="原币",D202,IF(ISNUMBER(D202),D202*1,D202)))</f>
        <v>2471008.0299999998</v>
      </c>
      <c r="E3" s="9">
        <f>IF(E202="","",IF(样本池!$E$6="原币",E202,IF(ISNUMBER(E202),E202*1,E202)))</f>
        <v>891207.54</v>
      </c>
      <c r="F3" s="9">
        <f>IF(F202="","",IF(样本池!$E$6="原币",F202,IF(ISNUMBER(F202),F202*1,F202)))</f>
        <v>844938.62</v>
      </c>
      <c r="G3" s="9">
        <f>IF(G202="","",IF(样本池!$E$6="原币",G202,IF(ISNUMBER(G202),G202*1,G202)))</f>
        <v>881859.96</v>
      </c>
      <c r="H3" s="9">
        <f>IF(H202="","",IF(样本池!$E$6="原币",H202,IF(ISNUMBER(H202),H202*1,H202)))</f>
        <v>872913.59</v>
      </c>
      <c r="I3" s="9">
        <f>IF(I202="","",IF(样本池!$E$6="原币",I202,IF(ISNUMBER(I202),I202*1,I202)))</f>
        <v>870094.62</v>
      </c>
      <c r="J3" s="9">
        <f>IF(J202="","",IF(样本池!$E$6="原币",J202,IF(ISNUMBER(J202),J202*1,J202)))</f>
        <v>812383.51</v>
      </c>
      <c r="K3" s="9">
        <f>IF(K202="","",IF(样本池!$E$6="原币",K202,IF(ISNUMBER(K202),K202*1,K202)))</f>
        <v>2005638.88</v>
      </c>
      <c r="L3" s="9">
        <f>IF(L202="","",IF(样本池!$E$6="原币",L202,IF(ISNUMBER(L202),L202*1,L202)))</f>
        <v>1847971.72</v>
      </c>
    </row>
    <row r="4" spans="1:12" ht="33" x14ac:dyDescent="0.35">
      <c r="A4" s="16" t="s">
        <v>145</v>
      </c>
      <c r="B4" s="8" t="s">
        <v>147</v>
      </c>
      <c r="C4" s="9">
        <f>IF(C203="","",IF(样本池!$E$6="原币",C203,IF(ISNUMBER(C203),C203*1,C203)))</f>
        <v>3051440.34</v>
      </c>
      <c r="D4" s="9">
        <f>IF(D203="","",IF(样本池!$E$6="原币",D203,IF(ISNUMBER(D203),D203*1,D203)))</f>
        <v>2471008.0299999998</v>
      </c>
      <c r="E4" s="9">
        <f>IF(E203="","",IF(样本池!$E$6="原币",E203,IF(ISNUMBER(E203),E203*1,E203)))</f>
        <v>891207.54</v>
      </c>
      <c r="F4" s="9">
        <f>IF(F203="","",IF(样本池!$E$6="原币",F203,IF(ISNUMBER(F203),F203*1,F203)))</f>
        <v>844938.62</v>
      </c>
      <c r="G4" s="9">
        <f>IF(G203="","",IF(样本池!$E$6="原币",G203,IF(ISNUMBER(G203),G203*1,G203)))</f>
        <v>881859.96</v>
      </c>
      <c r="H4" s="9">
        <f>IF(H203="","",IF(样本池!$E$6="原币",H203,IF(ISNUMBER(H203),H203*1,H203)))</f>
        <v>872913.59</v>
      </c>
      <c r="I4" s="9">
        <f>IF(I203="","",IF(样本池!$E$6="原币",I203,IF(ISNUMBER(I203),I203*1,I203)))</f>
        <v>870094.62</v>
      </c>
      <c r="J4" s="9">
        <f>IF(J203="","",IF(样本池!$E$6="原币",J203,IF(ISNUMBER(J203),J203*1,J203)))</f>
        <v>812383.51</v>
      </c>
      <c r="K4" s="9">
        <f>IF(K203="","",IF(样本池!$E$6="原币",K203,IF(ISNUMBER(K203),K203*1,K203)))</f>
        <v>2005638.88</v>
      </c>
      <c r="L4" s="9">
        <f>IF(L203="","",IF(样本池!$E$6="原币",L203,IF(ISNUMBER(L203),L203*1,L203)))</f>
        <v>1847971.72</v>
      </c>
    </row>
    <row r="5" spans="1:12" ht="33" x14ac:dyDescent="0.35">
      <c r="A5" s="16" t="s">
        <v>145</v>
      </c>
      <c r="B5" s="8" t="s">
        <v>148</v>
      </c>
      <c r="C5" s="9">
        <f>IF(C204="","",IF(样本池!$E$6="原币",C204,IF(ISNUMBER(C204),C204*1,C204)))</f>
        <v>2764858.25</v>
      </c>
      <c r="D5" s="9">
        <f>IF(D204="","",IF(样本池!$E$6="原币",D204,IF(ISNUMBER(D204),D204*1,D204)))</f>
        <v>2250836.29</v>
      </c>
      <c r="E5" s="9">
        <f>IF(E204="","",IF(样本池!$E$6="原币",E204,IF(ISNUMBER(E204),E204*1,E204)))</f>
        <v>874286.16</v>
      </c>
      <c r="F5" s="9">
        <f>IF(F204="","",IF(样本池!$E$6="原币",F204,IF(ISNUMBER(F204),F204*1,F204)))</f>
        <v>833163.55</v>
      </c>
      <c r="G5" s="9">
        <f>IF(G204="","",IF(样本池!$E$6="原币",G204,IF(ISNUMBER(G204),G204*1,G204)))</f>
        <v>844150.2</v>
      </c>
      <c r="H5" s="9">
        <f>IF(H204="","",IF(样本池!$E$6="原币",H204,IF(ISNUMBER(H204),H204*1,H204)))</f>
        <v>838762.42</v>
      </c>
      <c r="I5" s="9">
        <f>IF(I204="","",IF(样本池!$E$6="原币",I204,IF(ISNUMBER(I204),I204*1,I204)))</f>
        <v>829263.82</v>
      </c>
      <c r="J5" s="9">
        <f>IF(J204="","",IF(样本池!$E$6="原币",J204,IF(ISNUMBER(J204),J204*1,J204)))</f>
        <v>776353.02</v>
      </c>
      <c r="K5" s="9">
        <f>IF(K204="","",IF(样本池!$E$6="原币",K204,IF(ISNUMBER(K204),K204*1,K204)))</f>
        <v>1780904.16</v>
      </c>
      <c r="L5" s="9">
        <f>IF(L204="","",IF(样本池!$E$6="原币",L204,IF(ISNUMBER(L204),L204*1,L204)))</f>
        <v>1647441</v>
      </c>
    </row>
    <row r="6" spans="1:12" ht="33" x14ac:dyDescent="0.35">
      <c r="A6" s="16" t="s">
        <v>145</v>
      </c>
      <c r="B6" s="8" t="s">
        <v>149</v>
      </c>
      <c r="C6" s="9">
        <f>IF(C205="","",IF(样本池!$E$6="原币",C205,IF(ISNUMBER(C205),C205*1,C205)))</f>
        <v>1676297.55</v>
      </c>
      <c r="D6" s="9">
        <f>IF(D205="","",IF(样本池!$E$6="原币",D205,IF(ISNUMBER(D205),D205*1,D205)))</f>
        <v>1391840.37</v>
      </c>
      <c r="E6" s="9">
        <f>IF(E205="","",IF(样本池!$E$6="原币",E205,IF(ISNUMBER(E205),E205*1,E205)))</f>
        <v>541168.03</v>
      </c>
      <c r="F6" s="9">
        <f>IF(F205="","",IF(样本池!$E$6="原币",F205,IF(ISNUMBER(F205),F205*1,F205)))</f>
        <v>533559.62</v>
      </c>
      <c r="G6" s="9">
        <f>IF(G205="","",IF(样本池!$E$6="原币",G205,IF(ISNUMBER(G205),G205*1,G205)))</f>
        <v>566234.25</v>
      </c>
      <c r="H6" s="9">
        <f>IF(H205="","",IF(样本池!$E$6="原币",H205,IF(ISNUMBER(H205),H205*1,H205)))</f>
        <v>578999.81999999995</v>
      </c>
      <c r="I6" s="9">
        <f>IF(I205="","",IF(样本池!$E$6="原币",I205,IF(ISNUMBER(I205),I205*1,I205)))</f>
        <v>570089.54</v>
      </c>
      <c r="J6" s="9">
        <f>IF(J205="","",IF(样本池!$E$6="原币",J205,IF(ISNUMBER(J205),J205*1,J205)))</f>
        <v>530864.11</v>
      </c>
      <c r="K6" s="9">
        <f>IF(K205="","",IF(样本池!$E$6="原币",K205,IF(ISNUMBER(K205),K205*1,K205)))</f>
        <v>1348528.82</v>
      </c>
      <c r="L6" s="9">
        <f>IF(L205="","",IF(样本池!$E$6="原币",L205,IF(ISNUMBER(L205),L205*1,L205)))</f>
        <v>1243260.94</v>
      </c>
    </row>
    <row r="7" spans="1:12" ht="33" x14ac:dyDescent="0.35">
      <c r="A7" s="16" t="s">
        <v>145</v>
      </c>
      <c r="B7" s="8" t="s">
        <v>150</v>
      </c>
      <c r="C7" s="9">
        <f>IF(C206="","",IF(样本池!$E$6="原币",C206,IF(ISNUMBER(C206),C206*1,C206)))</f>
        <v>2034.16</v>
      </c>
      <c r="D7" s="9">
        <f>IF(D206="","",IF(样本池!$E$6="原币",D206,IF(ISNUMBER(D206),D206*1,D206)))</f>
        <v>1803.79</v>
      </c>
      <c r="E7" s="9">
        <f>IF(E206="","",IF(样本池!$E$6="原币",E206,IF(ISNUMBER(E206),E206*1,E206)))</f>
        <v>4989.76</v>
      </c>
      <c r="F7" s="9">
        <f>IF(F206="","",IF(样本池!$E$6="原币",F206,IF(ISNUMBER(F206),F206*1,F206)))</f>
        <v>4247.3</v>
      </c>
      <c r="G7" s="9">
        <f>IF(G206="","",IF(样本池!$E$6="原币",G206,IF(ISNUMBER(G206),G206*1,G206)))</f>
        <v>7325.39</v>
      </c>
      <c r="H7" s="9">
        <f>IF(H206="","",IF(样本池!$E$6="原币",H206,IF(ISNUMBER(H206),H206*1,H206)))</f>
        <v>7107.84</v>
      </c>
      <c r="I7" s="9">
        <f>IF(I206="","",IF(样本池!$E$6="原币",I206,IF(ISNUMBER(I206),I206*1,I206)))</f>
        <v>1335.83</v>
      </c>
      <c r="J7" s="9">
        <f>IF(J206="","",IF(样本池!$E$6="原币",J206,IF(ISNUMBER(J206),J206*1,J206)))</f>
        <v>1009.59</v>
      </c>
      <c r="K7" s="9">
        <f>IF(K206="","",IF(样本池!$E$6="原币",K206,IF(ISNUMBER(K206),K206*1,K206)))</f>
        <v>14360.87</v>
      </c>
      <c r="L7" s="9">
        <f>IF(L206="","",IF(样本池!$E$6="原币",L206,IF(ISNUMBER(L206),L206*1,L206)))</f>
        <v>13561.58</v>
      </c>
    </row>
    <row r="8" spans="1:12" ht="33" x14ac:dyDescent="0.35">
      <c r="A8" s="16" t="s">
        <v>145</v>
      </c>
      <c r="B8" s="8" t="s">
        <v>151</v>
      </c>
      <c r="C8" s="9">
        <f>IF(C207="","",IF(样本池!$E$6="原币",C207,IF(ISNUMBER(C207),C207*1,C207)))</f>
        <v>682680.28</v>
      </c>
      <c r="D8" s="9">
        <f>IF(D207="","",IF(样本池!$E$6="原币",D207,IF(ISNUMBER(D207),D207*1,D207)))</f>
        <v>556979.09</v>
      </c>
      <c r="E8" s="9">
        <f>IF(E207="","",IF(样本池!$E$6="原币",E207,IF(ISNUMBER(E207),E207*1,E207)))</f>
        <v>233449.92</v>
      </c>
      <c r="F8" s="9">
        <f>IF(F207="","",IF(样本池!$E$6="原币",F207,IF(ISNUMBER(F207),F207*1,F207)))</f>
        <v>198420.98</v>
      </c>
      <c r="G8" s="9">
        <f>IF(G207="","",IF(样本池!$E$6="原币",G207,IF(ISNUMBER(G207),G207*1,G207)))</f>
        <v>195846.92</v>
      </c>
      <c r="H8" s="9">
        <f>IF(H207="","",IF(样本池!$E$6="原币",H207,IF(ISNUMBER(H207),H207*1,H207)))</f>
        <v>187027.79</v>
      </c>
      <c r="I8" s="9">
        <f>IF(I207="","",IF(样本池!$E$6="原币",I207,IF(ISNUMBER(I207),I207*1,I207)))</f>
        <v>219178.87</v>
      </c>
      <c r="J8" s="9">
        <f>IF(J207="","",IF(样本池!$E$6="原币",J207,IF(ISNUMBER(J207),J207*1,J207)))</f>
        <v>200651.13</v>
      </c>
      <c r="K8" s="9">
        <f>IF(K207="","",IF(样本池!$E$6="原币",K207,IF(ISNUMBER(K207),K207*1,K207)))</f>
        <v>343728.47</v>
      </c>
      <c r="L8" s="9">
        <f>IF(L207="","",IF(样本池!$E$6="原币",L207,IF(ISNUMBER(L207),L207*1,L207)))</f>
        <v>329360.45</v>
      </c>
    </row>
    <row r="9" spans="1:12" ht="33" x14ac:dyDescent="0.35">
      <c r="A9" s="16" t="s">
        <v>145</v>
      </c>
      <c r="B9" s="8" t="s">
        <v>152</v>
      </c>
      <c r="C9" s="9">
        <f>IF(C208="","",IF(样本池!$E$6="原币",C208,IF(ISNUMBER(C208),C208*1,C208)))</f>
        <v>109305.85</v>
      </c>
      <c r="D9" s="9">
        <f>IF(D208="","",IF(样本池!$E$6="原币",D208,IF(ISNUMBER(D208),D208*1,D208)))</f>
        <v>86873.19</v>
      </c>
      <c r="E9" s="9">
        <f>IF(E208="","",IF(样本池!$E$6="原币",E208,IF(ISNUMBER(E208),E208*1,E208)))</f>
        <v>57574.41</v>
      </c>
      <c r="F9" s="9">
        <f>IF(F208="","",IF(样本池!$E$6="原币",F208,IF(ISNUMBER(F208),F208*1,F208)))</f>
        <v>55206.7</v>
      </c>
      <c r="G9" s="9">
        <f>IF(G208="","",IF(样本池!$E$6="原币",G208,IF(ISNUMBER(G208),G208*1,G208)))</f>
        <v>48392</v>
      </c>
      <c r="H9" s="9">
        <f>IF(H208="","",IF(样本池!$E$6="原币",H208,IF(ISNUMBER(H208),H208*1,H208)))</f>
        <v>46317.34</v>
      </c>
      <c r="I9" s="9">
        <f>IF(I208="","",IF(样本池!$E$6="原币",I208,IF(ISNUMBER(I208),I208*1,I208)))</f>
        <v>32785.910000000003</v>
      </c>
      <c r="J9" s="9">
        <f>IF(J208="","",IF(样本池!$E$6="原币",J208,IF(ISNUMBER(J208),J208*1,J208)))</f>
        <v>29956.14</v>
      </c>
      <c r="K9" s="9">
        <f>IF(K208="","",IF(样本池!$E$6="原币",K208,IF(ISNUMBER(K208),K208*1,K208)))</f>
        <v>37209.519999999997</v>
      </c>
      <c r="L9" s="9">
        <f>IF(L208="","",IF(样本池!$E$6="原币",L208,IF(ISNUMBER(L208),L208*1,L208)))</f>
        <v>36767.57</v>
      </c>
    </row>
    <row r="10" spans="1:12" ht="33" x14ac:dyDescent="0.35">
      <c r="A10" s="16" t="s">
        <v>145</v>
      </c>
      <c r="B10" s="8" t="s">
        <v>153</v>
      </c>
      <c r="C10" s="9">
        <f>IF(C209="","",IF(样本池!$E$6="原币",C209,IF(ISNUMBER(C209),C209*1,C209)))</f>
        <v>5261.85</v>
      </c>
      <c r="D10" s="9">
        <f>IF(D209="","",IF(样本池!$E$6="原币",D209,IF(ISNUMBER(D209),D209*1,D209)))</f>
        <v>2495.4</v>
      </c>
      <c r="E10" s="9">
        <f>IF(E209="","",IF(样本池!$E$6="原币",E209,IF(ISNUMBER(E209),E209*1,E209)))</f>
        <v>23422.79</v>
      </c>
      <c r="F10" s="9">
        <f>IF(F209="","",IF(样本池!$E$6="原币",F209,IF(ISNUMBER(F209),F209*1,F209)))</f>
        <v>27578.37</v>
      </c>
      <c r="G10" s="9">
        <f>IF(G209="","",IF(样本池!$E$6="原币",G209,IF(ISNUMBER(G209),G209*1,G209)))</f>
        <v>6454.59</v>
      </c>
      <c r="H10" s="9">
        <f>IF(H209="","",IF(样本池!$E$6="原币",H209,IF(ISNUMBER(H209),H209*1,H209)))</f>
        <v>3093.15</v>
      </c>
      <c r="I10" s="9">
        <f>IF(I209="","",IF(样本池!$E$6="原币",I209,IF(ISNUMBER(I209),I209*1,I209)))</f>
        <v>-794.2</v>
      </c>
      <c r="J10" s="9">
        <f>IF(J209="","",IF(样本池!$E$6="原币",J209,IF(ISNUMBER(J209),J209*1,J209)))</f>
        <v>6143.31</v>
      </c>
      <c r="K10" s="9">
        <f>IF(K209="","",IF(样本池!$E$6="原币",K209,IF(ISNUMBER(K209),K209*1,K209)))</f>
        <v>133.13</v>
      </c>
      <c r="L10" s="9">
        <f>IF(L209="","",IF(样本池!$E$6="原币",L209,IF(ISNUMBER(L209),L209*1,L209)))</f>
        <v>-3668.75</v>
      </c>
    </row>
    <row r="11" spans="1:12" ht="33" x14ac:dyDescent="0.35">
      <c r="A11" s="16" t="s">
        <v>145</v>
      </c>
      <c r="B11" s="8" t="s">
        <v>154</v>
      </c>
      <c r="C11" s="9">
        <f>IF(C210="","",IF(样本池!$E$6="原币",C210,IF(ISNUMBER(C210),C210*1,C210)))</f>
        <v>289278.55</v>
      </c>
      <c r="D11" s="9">
        <f>IF(D210="","",IF(样本池!$E$6="原币",D210,IF(ISNUMBER(D210),D210*1,D210)))</f>
        <v>210844.46</v>
      </c>
      <c r="E11" s="9">
        <f>IF(E210="","",IF(样本池!$E$6="原币",E210,IF(ISNUMBER(E210),E210*1,E210)))</f>
        <v>13681.25</v>
      </c>
      <c r="F11" s="9">
        <f>IF(F210="","",IF(样本池!$E$6="原币",F210,IF(ISNUMBER(F210),F210*1,F210)))</f>
        <v>14150.59</v>
      </c>
      <c r="G11" s="9">
        <f>IF(G210="","",IF(样本池!$E$6="原币",G210,IF(ISNUMBER(G210),G210*1,G210)))</f>
        <v>19897.04</v>
      </c>
      <c r="H11" s="9">
        <f>IF(H210="","",IF(样本池!$E$6="原币",H210,IF(ISNUMBER(H210),H210*1,H210)))</f>
        <v>16216.47</v>
      </c>
      <c r="I11" s="9">
        <f>IF(I210="","",IF(样本池!$E$6="原币",I210,IF(ISNUMBER(I210),I210*1,I210)))</f>
        <v>6667.87</v>
      </c>
      <c r="J11" s="9">
        <f>IF(J210="","",IF(样本池!$E$6="原币",J210,IF(ISNUMBER(J210),J210*1,J210)))</f>
        <v>7728.74</v>
      </c>
      <c r="K11" s="9">
        <f>IF(K210="","",IF(样本池!$E$6="原币",K210,IF(ISNUMBER(K210),K210*1,K210)))</f>
        <v>36943.360000000001</v>
      </c>
      <c r="L11" s="9">
        <f>IF(L210="","",IF(样本池!$E$6="原币",L210,IF(ISNUMBER(L210),L210*1,L210)))</f>
        <v>28159.22</v>
      </c>
    </row>
    <row r="12" spans="1:12" ht="33" x14ac:dyDescent="0.35">
      <c r="A12" s="16" t="s">
        <v>145</v>
      </c>
      <c r="B12" s="8" t="s">
        <v>155</v>
      </c>
      <c r="C12" s="9" t="str">
        <f>IF(C211="","",IF(样本池!$E$6="原币",C211,IF(ISNUMBER(C211),C211*1,C211)))</f>
        <v/>
      </c>
      <c r="D12" s="9" t="str">
        <f>IF(D211="","",IF(样本池!$E$6="原币",D211,IF(ISNUMBER(D211),D211*1,D211)))</f>
        <v/>
      </c>
      <c r="E12" s="9" t="str">
        <f>IF(E211="","",IF(样本池!$E$6="原币",E211,IF(ISNUMBER(E211),E211*1,E211)))</f>
        <v/>
      </c>
      <c r="F12" s="9" t="str">
        <f>IF(F211="","",IF(样本池!$E$6="原币",F211,IF(ISNUMBER(F211),F211*1,F211)))</f>
        <v/>
      </c>
      <c r="G12" s="9" t="str">
        <f>IF(G211="","",IF(样本池!$E$6="原币",G211,IF(ISNUMBER(G211),G211*1,G211)))</f>
        <v/>
      </c>
      <c r="H12" s="9" t="str">
        <f>IF(H211="","",IF(样本池!$E$6="原币",H211,IF(ISNUMBER(H211),H211*1,H211)))</f>
        <v/>
      </c>
      <c r="I12" s="9" t="str">
        <f>IF(I211="","",IF(样本池!$E$6="原币",I211,IF(ISNUMBER(I211),I211*1,I211)))</f>
        <v/>
      </c>
      <c r="J12" s="9" t="str">
        <f>IF(J211="","",IF(样本池!$E$6="原币",J211,IF(ISNUMBER(J211),J211*1,J211)))</f>
        <v/>
      </c>
      <c r="K12" s="9" t="str">
        <f>IF(K211="","",IF(样本池!$E$6="原币",K211,IF(ISNUMBER(K211),K211*1,K211)))</f>
        <v/>
      </c>
      <c r="L12" s="9" t="str">
        <f>IF(L211="","",IF(样本池!$E$6="原币",L211,IF(ISNUMBER(L211),L211*1,L211)))</f>
        <v/>
      </c>
    </row>
    <row r="13" spans="1:12" ht="33" x14ac:dyDescent="0.35">
      <c r="A13" s="16" t="s">
        <v>145</v>
      </c>
      <c r="B13" s="8" t="s">
        <v>156</v>
      </c>
      <c r="C13" s="9">
        <f>IF(C212="","",IF(样本池!$E$6="原币",C212,IF(ISNUMBER(C212),C212*1,C212)))</f>
        <v>13959.67</v>
      </c>
      <c r="D13" s="9">
        <f>IF(D212="","",IF(样本池!$E$6="原币",D212,IF(ISNUMBER(D212),D212*1,D212)))</f>
        <v>12871.95</v>
      </c>
      <c r="E13" s="9">
        <f>IF(E212="","",IF(样本池!$E$6="原币",E212,IF(ISNUMBER(E212),E212*1,E212)))</f>
        <v>1288.72</v>
      </c>
      <c r="F13" s="9">
        <f>IF(F212="","",IF(样本池!$E$6="原币",F212,IF(ISNUMBER(F212),F212*1,F212)))</f>
        <v>634.80999999999995</v>
      </c>
      <c r="G13" s="9">
        <f>IF(G212="","",IF(样本池!$E$6="原币",G212,IF(ISNUMBER(G212),G212*1,G212)))</f>
        <v>-1015.75</v>
      </c>
      <c r="H13" s="9">
        <f>IF(H212="","",IF(样本池!$E$6="原币",H212,IF(ISNUMBER(H212),H212*1,H212)))</f>
        <v>821.31</v>
      </c>
      <c r="I13" s="9">
        <f>IF(I212="","",IF(样本池!$E$6="原币",I212,IF(ISNUMBER(I212),I212*1,I212)))</f>
        <v>-1626.99</v>
      </c>
      <c r="J13" s="9">
        <f>IF(J212="","",IF(样本池!$E$6="原币",J212,IF(ISNUMBER(J212),J212*1,J212)))</f>
        <v>-37.39</v>
      </c>
      <c r="K13" s="9">
        <f>IF(K212="","",IF(样本池!$E$6="原币",K212,IF(ISNUMBER(K212),K212*1,K212)))</f>
        <v>271.01</v>
      </c>
      <c r="L13" s="9">
        <f>IF(L212="","",IF(样本池!$E$6="原币",L212,IF(ISNUMBER(L212),L212*1,L212)))</f>
        <v>174.23</v>
      </c>
    </row>
    <row r="14" spans="1:12" ht="33" x14ac:dyDescent="0.35">
      <c r="A14" s="16" t="s">
        <v>145</v>
      </c>
      <c r="B14" s="8" t="s">
        <v>157</v>
      </c>
      <c r="C14" s="9">
        <f>IF(C213="","",IF(样本池!$E$6="原币",C213,IF(ISNUMBER(C213),C213*1,C213)))</f>
        <v>27571.74</v>
      </c>
      <c r="D14" s="9">
        <f>IF(D213="","",IF(样本池!$E$6="原币",D213,IF(ISNUMBER(D213),D213*1,D213)))</f>
        <v>15465.86</v>
      </c>
      <c r="E14" s="9">
        <f>IF(E213="","",IF(样本池!$E$6="原币",E213,IF(ISNUMBER(E213),E213*1,E213)))</f>
        <v>-519.38</v>
      </c>
      <c r="F14" s="9">
        <f>IF(F213="","",IF(样本池!$E$6="原币",F213,IF(ISNUMBER(F213),F213*1,F213)))</f>
        <v>-1427.9</v>
      </c>
      <c r="G14" s="9">
        <f>IF(G213="","",IF(样本池!$E$6="原币",G213,IF(ISNUMBER(G213),G213*1,G213)))</f>
        <v>-450.63</v>
      </c>
      <c r="H14" s="9">
        <f>IF(H213="","",IF(样本池!$E$6="原币",H213,IF(ISNUMBER(H213),H213*1,H213)))</f>
        <v>109.69</v>
      </c>
      <c r="I14" s="9">
        <f>IF(I213="","",IF(样本池!$E$6="原币",I213,IF(ISNUMBER(I213),I213*1,I213)))</f>
        <v>5652.98</v>
      </c>
      <c r="J14" s="9">
        <f>IF(J213="","",IF(样本池!$E$6="原币",J213,IF(ISNUMBER(J213),J213*1,J213)))</f>
        <v>7363.8</v>
      </c>
      <c r="K14" s="9">
        <f>IF(K213="","",IF(样本池!$E$6="原币",K213,IF(ISNUMBER(K213),K213*1,K213)))</f>
        <v>4022.77</v>
      </c>
      <c r="L14" s="9">
        <f>IF(L213="","",IF(样本池!$E$6="原币",L213,IF(ISNUMBER(L213),L213*1,L213)))</f>
        <v>-47.51</v>
      </c>
    </row>
    <row r="15" spans="1:12" ht="33" x14ac:dyDescent="0.35">
      <c r="A15" s="16" t="s">
        <v>145</v>
      </c>
      <c r="B15" s="8" t="s">
        <v>158</v>
      </c>
      <c r="C15" s="9">
        <f>IF(C214="","",IF(样本池!$E$6="原币",C214,IF(ISNUMBER(C214),C214*1,C214)))</f>
        <v>2507.52</v>
      </c>
      <c r="D15" s="9">
        <f>IF(D214="","",IF(样本池!$E$6="原币",D214,IF(ISNUMBER(D214),D214*1,D214)))</f>
        <v>3562.13</v>
      </c>
      <c r="E15" s="9">
        <f>IF(E214="","",IF(样本池!$E$6="原币",E214,IF(ISNUMBER(E214),E214*1,E214)))</f>
        <v>492.55</v>
      </c>
      <c r="F15" s="9">
        <f>IF(F214="","",IF(样本池!$E$6="原币",F214,IF(ISNUMBER(F214),F214*1,F214)))</f>
        <v>79.98</v>
      </c>
      <c r="G15" s="9">
        <f>IF(G214="","",IF(样本池!$E$6="原币",G214,IF(ISNUMBER(G214),G214*1,G214)))</f>
        <v>-1129.02</v>
      </c>
      <c r="H15" s="9">
        <f>IF(H214="","",IF(样本池!$E$6="原币",H214,IF(ISNUMBER(H214),H214*1,H214)))</f>
        <v>-592.72</v>
      </c>
      <c r="I15" s="9">
        <f>IF(I214="","",IF(样本池!$E$6="原币",I214,IF(ISNUMBER(I214),I214*1,I214)))</f>
        <v>50.74</v>
      </c>
      <c r="J15" s="9" t="str">
        <f>IF(J214="","",IF(样本池!$E$6="原币",J214,IF(ISNUMBER(J214),J214*1,J214)))</f>
        <v/>
      </c>
      <c r="K15" s="9">
        <f>IF(K214="","",IF(样本池!$E$6="原币",K214,IF(ISNUMBER(K214),K214*1,K214)))</f>
        <v>1928.51</v>
      </c>
      <c r="L15" s="9">
        <f>IF(L214="","",IF(样本池!$E$6="原币",L214,IF(ISNUMBER(L214),L214*1,L214)))</f>
        <v>2389.11</v>
      </c>
    </row>
    <row r="16" spans="1:12" ht="33" x14ac:dyDescent="0.35">
      <c r="A16" s="16" t="s">
        <v>145</v>
      </c>
      <c r="B16" s="8" t="s">
        <v>159</v>
      </c>
      <c r="C16" s="9" t="str">
        <f>IF(C215="","",IF(样本池!$E$6="原币",C215,IF(ISNUMBER(C215),C215*1,C215)))</f>
        <v/>
      </c>
      <c r="D16" s="9" t="str">
        <f>IF(D215="","",IF(样本池!$E$6="原币",D215,IF(ISNUMBER(D215),D215*1,D215)))</f>
        <v/>
      </c>
      <c r="E16" s="9" t="str">
        <f>IF(E215="","",IF(样本池!$E$6="原币",E215,IF(ISNUMBER(E215),E215*1,E215)))</f>
        <v/>
      </c>
      <c r="F16" s="9" t="str">
        <f>IF(F215="","",IF(样本池!$E$6="原币",F215,IF(ISNUMBER(F215),F215*1,F215)))</f>
        <v/>
      </c>
      <c r="G16" s="9" t="str">
        <f>IF(G215="","",IF(样本池!$E$6="原币",G215,IF(ISNUMBER(G215),G215*1,G215)))</f>
        <v/>
      </c>
      <c r="H16" s="9" t="str">
        <f>IF(H215="","",IF(样本池!$E$6="原币",H215,IF(ISNUMBER(H215),H215*1,H215)))</f>
        <v/>
      </c>
      <c r="I16" s="9" t="str">
        <f>IF(I215="","",IF(样本池!$E$6="原币",I215,IF(ISNUMBER(I215),I215*1,I215)))</f>
        <v/>
      </c>
      <c r="J16" s="9" t="str">
        <f>IF(J215="","",IF(样本池!$E$6="原币",J215,IF(ISNUMBER(J215),J215*1,J215)))</f>
        <v/>
      </c>
      <c r="K16" s="9" t="str">
        <f>IF(K215="","",IF(样本池!$E$6="原币",K215,IF(ISNUMBER(K215),K215*1,K215)))</f>
        <v/>
      </c>
      <c r="L16" s="9" t="str">
        <f>IF(L215="","",IF(样本池!$E$6="原币",L215,IF(ISNUMBER(L215),L215*1,L215)))</f>
        <v/>
      </c>
    </row>
    <row r="17" spans="1:12" ht="33" x14ac:dyDescent="0.35">
      <c r="A17" s="16" t="s">
        <v>145</v>
      </c>
      <c r="B17" s="8" t="s">
        <v>160</v>
      </c>
      <c r="C17" s="9">
        <f>IF(C216="","",IF(样本池!$E$6="原币",C216,IF(ISNUMBER(C216),C216*1,C216)))</f>
        <v>292609.28000000003</v>
      </c>
      <c r="D17" s="9">
        <f>IF(D216="","",IF(样本池!$E$6="原币",D216,IF(ISNUMBER(D216),D216*1,D216)))</f>
        <v>237691.58</v>
      </c>
      <c r="E17" s="9">
        <f>IF(E216="","",IF(样本池!$E$6="原币",E216,IF(ISNUMBER(E216),E216*1,E216)))</f>
        <v>5012.92</v>
      </c>
      <c r="F17" s="9">
        <f>IF(F216="","",IF(样本池!$E$6="原币",F216,IF(ISNUMBER(F216),F216*1,F216)))</f>
        <v>-29302.63</v>
      </c>
      <c r="G17" s="9">
        <f>IF(G216="","",IF(样本池!$E$6="原币",G216,IF(ISNUMBER(G216),G216*1,G216)))</f>
        <v>32211.46</v>
      </c>
      <c r="H17" s="9">
        <f>IF(H216="","",IF(样本池!$E$6="原币",H216,IF(ISNUMBER(H216),H216*1,H216)))</f>
        <v>36146.699999999997</v>
      </c>
      <c r="I17" s="9">
        <f>IF(I216="","",IF(样本池!$E$6="原币",I216,IF(ISNUMBER(I216),I216*1,I216)))</f>
        <v>42127.45</v>
      </c>
      <c r="J17" s="9">
        <f>IF(J216="","",IF(样本池!$E$6="原币",J216,IF(ISNUMBER(J216),J216*1,J216)))</f>
        <v>40394.019999999997</v>
      </c>
      <c r="K17" s="9">
        <f>IF(K216="","",IF(样本池!$E$6="原币",K216,IF(ISNUMBER(K216),K216*1,K216)))</f>
        <v>212985.65</v>
      </c>
      <c r="L17" s="9">
        <f>IF(L216="","",IF(样本池!$E$6="原币",L216,IF(ISNUMBER(L216),L216*1,L216)))</f>
        <v>174525.44</v>
      </c>
    </row>
    <row r="18" spans="1:12" ht="33" x14ac:dyDescent="0.35">
      <c r="A18" s="16" t="s">
        <v>145</v>
      </c>
      <c r="B18" s="8" t="s">
        <v>161</v>
      </c>
      <c r="C18" s="9">
        <f>IF(C217="","",IF(样本池!$E$6="原币",C217,IF(ISNUMBER(C217),C217*1,C217)))</f>
        <v>465.5</v>
      </c>
      <c r="D18" s="9">
        <f>IF(D217="","",IF(样本池!$E$6="原币",D217,IF(ISNUMBER(D217),D217*1,D217)))</f>
        <v>292.11</v>
      </c>
      <c r="E18" s="9">
        <f>IF(E217="","",IF(样本池!$E$6="原币",E217,IF(ISNUMBER(E217),E217*1,E217)))</f>
        <v>469.05</v>
      </c>
      <c r="F18" s="9">
        <f>IF(F217="","",IF(样本池!$E$6="原币",F217,IF(ISNUMBER(F217),F217*1,F217)))</f>
        <v>13336.02</v>
      </c>
      <c r="G18" s="9">
        <f>IF(G217="","",IF(样本池!$E$6="原币",G217,IF(ISNUMBER(G217),G217*1,G217)))</f>
        <v>282.87</v>
      </c>
      <c r="H18" s="9">
        <f>IF(H217="","",IF(样本池!$E$6="原币",H217,IF(ISNUMBER(H217),H217*1,H217)))</f>
        <v>136.69999999999999</v>
      </c>
      <c r="I18" s="9">
        <f>IF(I217="","",IF(样本池!$E$6="原币",I217,IF(ISNUMBER(I217),I217*1,I217)))</f>
        <v>499.41</v>
      </c>
      <c r="J18" s="9">
        <f>IF(J217="","",IF(样本池!$E$6="原币",J217,IF(ISNUMBER(J217),J217*1,J217)))</f>
        <v>196.01</v>
      </c>
      <c r="K18" s="9">
        <f>IF(K217="","",IF(样本池!$E$6="原币",K217,IF(ISNUMBER(K217),K217*1,K217)))</f>
        <v>15484.69</v>
      </c>
      <c r="L18" s="9">
        <f>IF(L217="","",IF(样本池!$E$6="原币",L217,IF(ISNUMBER(L217),L217*1,L217)))</f>
        <v>16955.580000000002</v>
      </c>
    </row>
    <row r="19" spans="1:12" ht="33" x14ac:dyDescent="0.35">
      <c r="A19" s="16" t="s">
        <v>145</v>
      </c>
      <c r="B19" s="8" t="s">
        <v>162</v>
      </c>
      <c r="C19" s="9">
        <f>IF(C218="","",IF(样本池!$E$6="原币",C218,IF(ISNUMBER(C218),C218*1,C218)))</f>
        <v>827.42</v>
      </c>
      <c r="D19" s="9">
        <f>IF(D218="","",IF(样本池!$E$6="原币",D218,IF(ISNUMBER(D218),D218*1,D218)))</f>
        <v>3148.84</v>
      </c>
      <c r="E19" s="9">
        <f>IF(E218="","",IF(样本池!$E$6="原币",E218,IF(ISNUMBER(E218),E218*1,E218)))</f>
        <v>502.99</v>
      </c>
      <c r="F19" s="9">
        <f>IF(F218="","",IF(样本池!$E$6="原币",F218,IF(ISNUMBER(F218),F218*1,F218)))</f>
        <v>458.51</v>
      </c>
      <c r="G19" s="9">
        <f>IF(G218="","",IF(样本池!$E$6="原币",G218,IF(ISNUMBER(G218),G218*1,G218)))</f>
        <v>630.20000000000005</v>
      </c>
      <c r="H19" s="9">
        <f>IF(H218="","",IF(样本池!$E$6="原币",H218,IF(ISNUMBER(H218),H218*1,H218)))</f>
        <v>843.21</v>
      </c>
      <c r="I19" s="9">
        <f>IF(I218="","",IF(样本池!$E$6="原币",I218,IF(ISNUMBER(I218),I218*1,I218)))</f>
        <v>843.62</v>
      </c>
      <c r="J19" s="9">
        <f>IF(J218="","",IF(样本池!$E$6="原币",J218,IF(ISNUMBER(J218),J218*1,J218)))</f>
        <v>178.71</v>
      </c>
      <c r="K19" s="9">
        <f>IF(K218="","",IF(样本池!$E$6="原币",K218,IF(ISNUMBER(K218),K218*1,K218)))</f>
        <v>1274.6199999999999</v>
      </c>
      <c r="L19" s="9">
        <f>IF(L218="","",IF(样本池!$E$6="原币",L218,IF(ISNUMBER(L218),L218*1,L218)))</f>
        <v>2191.52</v>
      </c>
    </row>
    <row r="20" spans="1:12" ht="33" x14ac:dyDescent="0.35">
      <c r="A20" s="16" t="s">
        <v>145</v>
      </c>
      <c r="B20" s="8" t="s">
        <v>163</v>
      </c>
      <c r="C20" s="9" t="str">
        <f>IF(C219="","",IF(样本池!$E$6="原币",C219,IF(ISNUMBER(C219),C219*1,C219)))</f>
        <v/>
      </c>
      <c r="D20" s="9" t="str">
        <f>IF(D219="","",IF(样本池!$E$6="原币",D219,IF(ISNUMBER(D219),D219*1,D219)))</f>
        <v/>
      </c>
      <c r="E20" s="9" t="str">
        <f>IF(E219="","",IF(样本池!$E$6="原币",E219,IF(ISNUMBER(E219),E219*1,E219)))</f>
        <v/>
      </c>
      <c r="F20" s="9" t="str">
        <f>IF(F219="","",IF(样本池!$E$6="原币",F219,IF(ISNUMBER(F219),F219*1,F219)))</f>
        <v/>
      </c>
      <c r="G20" s="9" t="str">
        <f>IF(G219="","",IF(样本池!$E$6="原币",G219,IF(ISNUMBER(G219),G219*1,G219)))</f>
        <v/>
      </c>
      <c r="H20" s="9" t="str">
        <f>IF(H219="","",IF(样本池!$E$6="原币",H219,IF(ISNUMBER(H219),H219*1,H219)))</f>
        <v/>
      </c>
      <c r="I20" s="9" t="str">
        <f>IF(I219="","",IF(样本池!$E$6="原币",I219,IF(ISNUMBER(I219),I219*1,I219)))</f>
        <v/>
      </c>
      <c r="J20" s="9" t="str">
        <f>IF(J219="","",IF(样本池!$E$6="原币",J219,IF(ISNUMBER(J219),J219*1,J219)))</f>
        <v/>
      </c>
      <c r="K20" s="9" t="str">
        <f>IF(K219="","",IF(样本池!$E$6="原币",K219,IF(ISNUMBER(K219),K219*1,K219)))</f>
        <v/>
      </c>
      <c r="L20" s="9" t="str">
        <f>IF(L219="","",IF(样本池!$E$6="原币",L219,IF(ISNUMBER(L219),L219*1,L219)))</f>
        <v/>
      </c>
    </row>
    <row r="21" spans="1:12" ht="33" x14ac:dyDescent="0.35">
      <c r="A21" s="16" t="s">
        <v>145</v>
      </c>
      <c r="B21" s="8" t="s">
        <v>164</v>
      </c>
      <c r="C21" s="9">
        <f>IF(C220="","",IF(样本池!$E$6="原币",C220,IF(ISNUMBER(C220),C220*1,C220)))</f>
        <v>292247.36</v>
      </c>
      <c r="D21" s="9">
        <f>IF(D220="","",IF(样本池!$E$6="原币",D220,IF(ISNUMBER(D220),D220*1,D220)))</f>
        <v>234834.85</v>
      </c>
      <c r="E21" s="9">
        <f>IF(E220="","",IF(样本池!$E$6="原币",E220,IF(ISNUMBER(E220),E220*1,E220)))</f>
        <v>4978.9799999999996</v>
      </c>
      <c r="F21" s="9">
        <f>IF(F220="","",IF(样本池!$E$6="原币",F220,IF(ISNUMBER(F220),F220*1,F220)))</f>
        <v>-16425.12</v>
      </c>
      <c r="G21" s="9">
        <f>IF(G220="","",IF(样本池!$E$6="原币",G220,IF(ISNUMBER(G220),G220*1,G220)))</f>
        <v>31864.13</v>
      </c>
      <c r="H21" s="9">
        <f>IF(H220="","",IF(样本池!$E$6="原币",H220,IF(ISNUMBER(H220),H220*1,H220)))</f>
        <v>35440.199999999997</v>
      </c>
      <c r="I21" s="9">
        <f>IF(I220="","",IF(样本池!$E$6="原币",I220,IF(ISNUMBER(I220),I220*1,I220)))</f>
        <v>41783.230000000003</v>
      </c>
      <c r="J21" s="9">
        <f>IF(J220="","",IF(样本池!$E$6="原币",J220,IF(ISNUMBER(J220),J220*1,J220)))</f>
        <v>40411.33</v>
      </c>
      <c r="K21" s="9">
        <f>IF(K220="","",IF(样本池!$E$6="原币",K220,IF(ISNUMBER(K220),K220*1,K220)))</f>
        <v>227195.72</v>
      </c>
      <c r="L21" s="9">
        <f>IF(L220="","",IF(样本池!$E$6="原币",L220,IF(ISNUMBER(L220),L220*1,L220)))</f>
        <v>189289.5</v>
      </c>
    </row>
    <row r="22" spans="1:12" ht="33" x14ac:dyDescent="0.35">
      <c r="A22" s="16" t="s">
        <v>145</v>
      </c>
      <c r="B22" s="8" t="s">
        <v>165</v>
      </c>
      <c r="C22" s="9">
        <f>IF(C221="","",IF(样本池!$E$6="原币",C221,IF(ISNUMBER(C221),C221*1,C221)))</f>
        <v>30527.97</v>
      </c>
      <c r="D22" s="9">
        <f>IF(D221="","",IF(样本池!$E$6="原币",D221,IF(ISNUMBER(D221),D221*1,D221)))</f>
        <v>13722.45</v>
      </c>
      <c r="E22" s="9">
        <f>IF(E221="","",IF(样本池!$E$6="原币",E221,IF(ISNUMBER(E221),E221*1,E221)))</f>
        <v>7027.96</v>
      </c>
      <c r="F22" s="9">
        <f>IF(F221="","",IF(样本池!$E$6="原币",F221,IF(ISNUMBER(F221),F221*1,F221)))</f>
        <v>1471.18</v>
      </c>
      <c r="G22" s="9">
        <f>IF(G221="","",IF(样本池!$E$6="原币",G221,IF(ISNUMBER(G221),G221*1,G221)))</f>
        <v>8075.2</v>
      </c>
      <c r="H22" s="9">
        <f>IF(H221="","",IF(样本池!$E$6="原币",H221,IF(ISNUMBER(H221),H221*1,H221)))</f>
        <v>2783.21</v>
      </c>
      <c r="I22" s="9">
        <f>IF(I221="","",IF(样本池!$E$6="原币",I221,IF(ISNUMBER(I221),I221*1,I221)))</f>
        <v>8202.6200000000008</v>
      </c>
      <c r="J22" s="9">
        <f>IF(J221="","",IF(样本池!$E$6="原币",J221,IF(ISNUMBER(J221),J221*1,J221)))</f>
        <v>7053.95</v>
      </c>
      <c r="K22" s="9">
        <f>IF(K221="","",IF(样本池!$E$6="原币",K221,IF(ISNUMBER(K221),K221*1,K221)))</f>
        <v>40487.769999999997</v>
      </c>
      <c r="L22" s="9">
        <f>IF(L221="","",IF(样本池!$E$6="原币",L221,IF(ISNUMBER(L221),L221*1,L221)))</f>
        <v>44535.72</v>
      </c>
    </row>
    <row r="23" spans="1:12" ht="33" x14ac:dyDescent="0.35">
      <c r="A23" s="16" t="s">
        <v>145</v>
      </c>
      <c r="B23" s="8" t="s">
        <v>166</v>
      </c>
      <c r="C23" s="9">
        <f>IF(C222="","",IF(样本池!$E$6="原币",C222,IF(ISNUMBER(C222),C222*1,C222)))</f>
        <v>261719.39</v>
      </c>
      <c r="D23" s="9">
        <f>IF(D222="","",IF(样本池!$E$6="原币",D222,IF(ISNUMBER(D222),D222*1,D222)))</f>
        <v>221112.4</v>
      </c>
      <c r="E23" s="9">
        <f>IF(E222="","",IF(样本池!$E$6="原币",E222,IF(ISNUMBER(E222),E222*1,E222)))</f>
        <v>-2048.9699999999998</v>
      </c>
      <c r="F23" s="9">
        <f>IF(F222="","",IF(样本池!$E$6="原币",F222,IF(ISNUMBER(F222),F222*1,F222)))</f>
        <v>-17896.310000000001</v>
      </c>
      <c r="G23" s="9">
        <f>IF(G222="","",IF(样本池!$E$6="原币",G222,IF(ISNUMBER(G222),G222*1,G222)))</f>
        <v>23788.93</v>
      </c>
      <c r="H23" s="9">
        <f>IF(H222="","",IF(样本池!$E$6="原币",H222,IF(ISNUMBER(H222),H222*1,H222)))</f>
        <v>32656.99</v>
      </c>
      <c r="I23" s="9">
        <f>IF(I222="","",IF(样本池!$E$6="原币",I222,IF(ISNUMBER(I222),I222*1,I222)))</f>
        <v>33580.61</v>
      </c>
      <c r="J23" s="9">
        <f>IF(J222="","",IF(样本池!$E$6="原币",J222,IF(ISNUMBER(J222),J222*1,J222)))</f>
        <v>33357.370000000003</v>
      </c>
      <c r="K23" s="9">
        <f>IF(K222="","",IF(样本池!$E$6="原币",K222,IF(ISNUMBER(K222),K222*1,K222)))</f>
        <v>186707.95</v>
      </c>
      <c r="L23" s="9">
        <f>IF(L222="","",IF(样本池!$E$6="原币",L222,IF(ISNUMBER(L222),L222*1,L222)))</f>
        <v>144753.76999999999</v>
      </c>
    </row>
    <row r="24" spans="1:12" ht="33" x14ac:dyDescent="0.35">
      <c r="A24" s="16" t="s">
        <v>145</v>
      </c>
      <c r="B24" s="8" t="s">
        <v>167</v>
      </c>
      <c r="C24" s="9">
        <f>IF(C223="","",IF(样本池!$E$6="原币",C223,IF(ISNUMBER(C223),C223*1,C223)))</f>
        <v>254513.19</v>
      </c>
      <c r="D24" s="9">
        <f>IF(D223="","",IF(样本池!$E$6="原币",D223,IF(ISNUMBER(D223),D223*1,D223)))</f>
        <v>211442.95</v>
      </c>
      <c r="E24" s="9">
        <f>IF(E223="","",IF(样本池!$E$6="原币",E223,IF(ISNUMBER(E223),E223*1,E223)))</f>
        <v>-982.25</v>
      </c>
      <c r="F24" s="9">
        <f>IF(F223="","",IF(样本池!$E$6="原币",F223,IF(ISNUMBER(F223),F223*1,F223)))</f>
        <v>-15142.03</v>
      </c>
      <c r="G24" s="9">
        <f>IF(G223="","",IF(样本池!$E$6="原币",G223,IF(ISNUMBER(G223),G223*1,G223)))</f>
        <v>24141.01</v>
      </c>
      <c r="H24" s="9">
        <f>IF(H223="","",IF(样本池!$E$6="原币",H223,IF(ISNUMBER(H223),H223*1,H223)))</f>
        <v>32236.14</v>
      </c>
      <c r="I24" s="9">
        <f>IF(I223="","",IF(样本池!$E$6="原币",I223,IF(ISNUMBER(I223),I223*1,I223)))</f>
        <v>33580.61</v>
      </c>
      <c r="J24" s="9">
        <f>IF(J223="","",IF(样本池!$E$6="原币",J223,IF(ISNUMBER(J223),J223*1,J223)))</f>
        <v>33357.370000000003</v>
      </c>
      <c r="K24" s="9">
        <f>IF(K223="","",IF(样本池!$E$6="原币",K223,IF(ISNUMBER(K223),K223*1,K223)))</f>
        <v>179004.49</v>
      </c>
      <c r="L24" s="9">
        <f>IF(L223="","",IF(样本池!$E$6="原币",L223,IF(ISNUMBER(L223),L223*1,L223)))</f>
        <v>141653.96</v>
      </c>
    </row>
    <row r="25" spans="1:12" ht="33" x14ac:dyDescent="0.35">
      <c r="A25" s="16" t="s">
        <v>145</v>
      </c>
      <c r="B25" s="8" t="s">
        <v>168</v>
      </c>
      <c r="C25" s="9">
        <f>IF(C224="","",IF(样本池!$E$6="原币",C224,IF(ISNUMBER(C224),C224*1,C224)))</f>
        <v>7206.2</v>
      </c>
      <c r="D25" s="9">
        <f>IF(D224="","",IF(样本池!$E$6="原币",D224,IF(ISNUMBER(D224),D224*1,D224)))</f>
        <v>9669.44</v>
      </c>
      <c r="E25" s="9">
        <f>IF(E224="","",IF(样本池!$E$6="原币",E224,IF(ISNUMBER(E224),E224*1,E224)))</f>
        <v>-1066.72</v>
      </c>
      <c r="F25" s="9">
        <f>IF(F224="","",IF(样本池!$E$6="原币",F224,IF(ISNUMBER(F224),F224*1,F224)))</f>
        <v>-2754.27</v>
      </c>
      <c r="G25" s="9">
        <f>IF(G224="","",IF(样本池!$E$6="原币",G224,IF(ISNUMBER(G224),G224*1,G224)))</f>
        <v>-352.08</v>
      </c>
      <c r="H25" s="9">
        <f>IF(H224="","",IF(样本池!$E$6="原币",H224,IF(ISNUMBER(H224),H224*1,H224)))</f>
        <v>420.85</v>
      </c>
      <c r="I25" s="9" t="str">
        <f>IF(I224="","",IF(样本池!$E$6="原币",I224,IF(ISNUMBER(I224),I224*1,I224)))</f>
        <v/>
      </c>
      <c r="J25" s="9" t="str">
        <f>IF(J224="","",IF(样本池!$E$6="原币",J224,IF(ISNUMBER(J224),J224*1,J224)))</f>
        <v/>
      </c>
      <c r="K25" s="9">
        <f>IF(K224="","",IF(样本池!$E$6="原币",K224,IF(ISNUMBER(K224),K224*1,K224)))</f>
        <v>7703.45</v>
      </c>
      <c r="L25" s="9">
        <f>IF(L224="","",IF(样本池!$E$6="原币",L224,IF(ISNUMBER(L224),L224*1,L224)))</f>
        <v>3099.82</v>
      </c>
    </row>
    <row r="26" spans="1:12" ht="16.5" x14ac:dyDescent="0.35">
      <c r="A26" s="8" t="s">
        <v>169</v>
      </c>
      <c r="B26" s="8" t="s">
        <v>170</v>
      </c>
      <c r="C26" s="9">
        <f>IF(C225="","",IF(样本池!$E$6="原币",C225,IF(ISNUMBER(C225),C225*1,C225)))</f>
        <v>4.7714999999999996</v>
      </c>
      <c r="D26" s="9">
        <f>IF(D225="","",IF(样本池!$E$6="原币",D225,IF(ISNUMBER(D225),D225*1,D225)))</f>
        <v>3.9939</v>
      </c>
      <c r="E26" s="9">
        <f>IF(E225="","",IF(样本池!$E$6="原币",E225,IF(ISNUMBER(E225),E225*1,E225)))</f>
        <v>-0.02</v>
      </c>
      <c r="F26" s="9">
        <f>IF(F225="","",IF(样本池!$E$6="原币",F225,IF(ISNUMBER(F225),F225*1,F225)))</f>
        <v>-0.27</v>
      </c>
      <c r="G26" s="9">
        <f>IF(G225="","",IF(样本池!$E$6="原币",G225,IF(ISNUMBER(G225),G225*1,G225)))</f>
        <v>0.65</v>
      </c>
      <c r="H26" s="9">
        <f>IF(H225="","",IF(样本池!$E$6="原币",H225,IF(ISNUMBER(H225),H225*1,H225)))</f>
        <v>0.85</v>
      </c>
      <c r="I26" s="9">
        <f>IF(I225="","",IF(样本池!$E$6="原币",I225,IF(ISNUMBER(I225),I225*1,I225)))</f>
        <v>0.84</v>
      </c>
      <c r="J26" s="9">
        <f>IF(J225="","",IF(样本池!$E$6="原币",J225,IF(ISNUMBER(J225),J225*1,J225)))</f>
        <v>0.83</v>
      </c>
      <c r="K26" s="9">
        <f>IF(K225="","",IF(样本池!$E$6="原币",K225,IF(ISNUMBER(K225),K225*1,K225)))</f>
        <v>2.2000000000000002</v>
      </c>
      <c r="L26" s="9">
        <f>IF(L225="","",IF(样本池!$E$6="原币",L225,IF(ISNUMBER(L225),L225*1,L225)))</f>
        <v>1.74</v>
      </c>
    </row>
    <row r="27" spans="1:12" ht="16.5" x14ac:dyDescent="0.35">
      <c r="A27" s="8" t="s">
        <v>169</v>
      </c>
      <c r="B27" s="8" t="s">
        <v>171</v>
      </c>
      <c r="C27" s="9">
        <f>IF(C226="","",IF(样本池!$E$6="原币",C226,IF(ISNUMBER(C226),C226*1,C226)))</f>
        <v>4.7173999999999996</v>
      </c>
      <c r="D27" s="9">
        <f>IF(D226="","",IF(样本池!$E$6="原币",D226,IF(ISNUMBER(D226),D226*1,D226)))</f>
        <v>3.9712000000000001</v>
      </c>
      <c r="E27" s="9">
        <f>IF(E226="","",IF(样本池!$E$6="原币",E226,IF(ISNUMBER(E226),E226*1,E226)))</f>
        <v>-0.02</v>
      </c>
      <c r="F27" s="9">
        <f>IF(F226="","",IF(样本池!$E$6="原币",F226,IF(ISNUMBER(F226),F226*1,F226)))</f>
        <v>-0.27</v>
      </c>
      <c r="G27" s="9">
        <f>IF(G226="","",IF(样本池!$E$6="原币",G226,IF(ISNUMBER(G226),G226*1,G226)))</f>
        <v>0.65</v>
      </c>
      <c r="H27" s="9">
        <f>IF(H226="","",IF(样本池!$E$6="原币",H226,IF(ISNUMBER(H226),H226*1,H226)))</f>
        <v>0.85</v>
      </c>
      <c r="I27" s="9">
        <f>IF(I226="","",IF(样本池!$E$6="原币",I226,IF(ISNUMBER(I226),I226*1,I226)))</f>
        <v>0.84</v>
      </c>
      <c r="J27" s="9">
        <f>IF(J226="","",IF(样本池!$E$6="原币",J226,IF(ISNUMBER(J226),J226*1,J226)))</f>
        <v>0.83</v>
      </c>
      <c r="K27" s="9">
        <f>IF(K226="","",IF(样本池!$E$6="原币",K226,IF(ISNUMBER(K226),K226*1,K226)))</f>
        <v>2.2000000000000002</v>
      </c>
      <c r="L27" s="9">
        <f>IF(L226="","",IF(样本池!$E$6="原币",L226,IF(ISNUMBER(L226),L226*1,L226)))</f>
        <v>1.74</v>
      </c>
    </row>
    <row r="28" spans="1:12" ht="16.5" x14ac:dyDescent="0.35">
      <c r="A28" s="8" t="s">
        <v>169</v>
      </c>
      <c r="B28" s="8" t="s">
        <v>172</v>
      </c>
      <c r="C28" s="9">
        <f>IF(C227="","",IF(样本池!$E$6="原币",C227,IF(ISNUMBER(C227),C227*1,C227)))</f>
        <v>9218.91</v>
      </c>
      <c r="D28" s="9">
        <f>IF(D227="","",IF(样本池!$E$6="原币",D227,IF(ISNUMBER(D227),D227*1,D227)))</f>
        <v>145.52000000000001</v>
      </c>
      <c r="E28" s="9">
        <f>IF(E227="","",IF(样本池!$E$6="原币",E227,IF(ISNUMBER(E227),E227*1,E227)))</f>
        <v>6653.93</v>
      </c>
      <c r="F28" s="9">
        <f>IF(F227="","",IF(样本池!$E$6="原币",F227,IF(ISNUMBER(F227),F227*1,F227)))</f>
        <v>-3372.38</v>
      </c>
      <c r="G28" s="9">
        <f>IF(G227="","",IF(样本池!$E$6="原币",G227,IF(ISNUMBER(G227),G227*1,G227)))</f>
        <v>-801.86</v>
      </c>
      <c r="H28" s="9">
        <f>IF(H227="","",IF(样本池!$E$6="原币",H227,IF(ISNUMBER(H227),H227*1,H227)))</f>
        <v>1567.82</v>
      </c>
      <c r="I28" s="9">
        <f>IF(I227="","",IF(样本池!$E$6="原币",I227,IF(ISNUMBER(I227),I227*1,I227)))</f>
        <v>1758.48</v>
      </c>
      <c r="J28" s="9">
        <f>IF(J227="","",IF(样本池!$E$6="原币",J227,IF(ISNUMBER(J227),J227*1,J227)))</f>
        <v>-336.65</v>
      </c>
      <c r="K28" s="9">
        <f>IF(K227="","",IF(样本池!$E$6="原币",K227,IF(ISNUMBER(K227),K227*1,K227)))</f>
        <v>211.68</v>
      </c>
      <c r="L28" s="9">
        <f>IF(L227="","",IF(样本池!$E$6="原币",L227,IF(ISNUMBER(L227),L227*1,L227)))</f>
        <v>-1715.73</v>
      </c>
    </row>
    <row r="29" spans="1:12" ht="16.5" x14ac:dyDescent="0.35">
      <c r="A29" s="8" t="s">
        <v>169</v>
      </c>
      <c r="B29" s="8" t="s">
        <v>173</v>
      </c>
      <c r="C29" s="9">
        <f>IF(C228="","",IF(样本池!$E$6="原币",C228,IF(ISNUMBER(C228),C228*1,C228)))</f>
        <v>270938.3</v>
      </c>
      <c r="D29" s="9">
        <f>IF(D228="","",IF(样本池!$E$6="原币",D228,IF(ISNUMBER(D228),D228*1,D228)))</f>
        <v>221257.92</v>
      </c>
      <c r="E29" s="9">
        <f>IF(E228="","",IF(样本池!$E$6="原币",E228,IF(ISNUMBER(E228),E228*1,E228)))</f>
        <v>4604.96</v>
      </c>
      <c r="F29" s="9">
        <f>IF(F228="","",IF(样本池!$E$6="原币",F228,IF(ISNUMBER(F228),F228*1,F228)))</f>
        <v>-21268.69</v>
      </c>
      <c r="G29" s="9">
        <f>IF(G228="","",IF(样本池!$E$6="原币",G228,IF(ISNUMBER(G228),G228*1,G228)))</f>
        <v>22987.07</v>
      </c>
      <c r="H29" s="9">
        <f>IF(H228="","",IF(样本池!$E$6="原币",H228,IF(ISNUMBER(H228),H228*1,H228)))</f>
        <v>34224.81</v>
      </c>
      <c r="I29" s="9">
        <f>IF(I228="","",IF(样本池!$E$6="原币",I228,IF(ISNUMBER(I228),I228*1,I228)))</f>
        <v>35339.089999999997</v>
      </c>
      <c r="J29" s="9">
        <f>IF(J228="","",IF(样本池!$E$6="原币",J228,IF(ISNUMBER(J228),J228*1,J228)))</f>
        <v>33020.720000000001</v>
      </c>
      <c r="K29" s="9">
        <f>IF(K228="","",IF(样本池!$E$6="原币",K228,IF(ISNUMBER(K228),K228*1,K228)))</f>
        <v>186919.63</v>
      </c>
      <c r="L29" s="9">
        <f>IF(L228="","",IF(样本池!$E$6="原币",L228,IF(ISNUMBER(L228),L228*1,L228)))</f>
        <v>143038.04999999999</v>
      </c>
    </row>
    <row r="30" spans="1:12" ht="16.5" x14ac:dyDescent="0.35">
      <c r="A30" s="8" t="s">
        <v>169</v>
      </c>
      <c r="B30" s="8" t="s">
        <v>174</v>
      </c>
      <c r="C30" s="9">
        <f>IF(C229="","",IF(样本池!$E$6="原币",C229,IF(ISNUMBER(C229),C229*1,C229)))</f>
        <v>263728.02</v>
      </c>
      <c r="D30" s="9">
        <f>IF(D229="","",IF(样本池!$E$6="原币",D229,IF(ISNUMBER(D229),D229*1,D229)))</f>
        <v>211588.52</v>
      </c>
      <c r="E30" s="9">
        <f>IF(E229="","",IF(样本池!$E$6="原币",E229,IF(ISNUMBER(E229),E229*1,E229)))</f>
        <v>5407.27</v>
      </c>
      <c r="F30" s="9">
        <f>IF(F229="","",IF(样本池!$E$6="原币",F229,IF(ISNUMBER(F229),F229*1,F229)))</f>
        <v>-19127.39</v>
      </c>
      <c r="G30" s="9">
        <f>IF(G229="","",IF(样本池!$E$6="原币",G229,IF(ISNUMBER(G229),G229*1,G229)))</f>
        <v>23339.15</v>
      </c>
      <c r="H30" s="9">
        <f>IF(H229="","",IF(样本池!$E$6="原币",H229,IF(ISNUMBER(H229),H229*1,H229)))</f>
        <v>33803.96</v>
      </c>
      <c r="I30" s="9">
        <f>IF(I229="","",IF(样本池!$E$6="原币",I229,IF(ISNUMBER(I229),I229*1,I229)))</f>
        <v>35339.089999999997</v>
      </c>
      <c r="J30" s="9">
        <f>IF(J229="","",IF(样本池!$E$6="原币",J229,IF(ISNUMBER(J229),J229*1,J229)))</f>
        <v>33020.720000000001</v>
      </c>
      <c r="K30" s="9">
        <f>IF(K229="","",IF(样本池!$E$6="原币",K229,IF(ISNUMBER(K229),K229*1,K229)))</f>
        <v>179215.04</v>
      </c>
      <c r="L30" s="9">
        <f>IF(L229="","",IF(样本池!$E$6="原币",L229,IF(ISNUMBER(L229),L229*1,L229)))</f>
        <v>139939.93</v>
      </c>
    </row>
    <row r="31" spans="1:12" ht="16.5" x14ac:dyDescent="0.35">
      <c r="A31" s="8" t="s">
        <v>169</v>
      </c>
      <c r="B31" s="8" t="s">
        <v>175</v>
      </c>
      <c r="C31" s="9">
        <f>IF(C230="","",IF(样本池!$E$6="原币",C230,IF(ISNUMBER(C230),C230*1,C230)))</f>
        <v>7210.28</v>
      </c>
      <c r="D31" s="9">
        <f>IF(D230="","",IF(样本池!$E$6="原币",D230,IF(ISNUMBER(D230),D230*1,D230)))</f>
        <v>9669.39</v>
      </c>
      <c r="E31" s="9">
        <f>IF(E230="","",IF(样本池!$E$6="原币",E230,IF(ISNUMBER(E230),E230*1,E230)))</f>
        <v>-802.31</v>
      </c>
      <c r="F31" s="9">
        <f>IF(F230="","",IF(样本池!$E$6="原币",F230,IF(ISNUMBER(F230),F230*1,F230)))</f>
        <v>-2141.3000000000002</v>
      </c>
      <c r="G31" s="9">
        <f>IF(G230="","",IF(样本池!$E$6="原币",G230,IF(ISNUMBER(G230),G230*1,G230)))</f>
        <v>-352.08</v>
      </c>
      <c r="H31" s="9">
        <f>IF(H230="","",IF(样本池!$E$6="原币",H230,IF(ISNUMBER(H230),H230*1,H230)))</f>
        <v>420.85</v>
      </c>
      <c r="I31" s="9" t="str">
        <f>IF(I230="","",IF(样本池!$E$6="原币",I230,IF(ISNUMBER(I230),I230*1,I230)))</f>
        <v/>
      </c>
      <c r="J31" s="9" t="str">
        <f>IF(J230="","",IF(样本池!$E$6="原币",J230,IF(ISNUMBER(J230),J230*1,J230)))</f>
        <v/>
      </c>
      <c r="K31" s="9">
        <f>IF(K230="","",IF(样本池!$E$6="原币",K230,IF(ISNUMBER(K230),K230*1,K230)))</f>
        <v>7704.59</v>
      </c>
      <c r="L31" s="9">
        <f>IF(L230="","",IF(样本池!$E$6="原币",L230,IF(ISNUMBER(L230),L230*1,L230)))</f>
        <v>3098.12</v>
      </c>
    </row>
    <row r="200" spans="3:12" ht="13.5" hidden="1" customHeight="1" x14ac:dyDescent="0.15"/>
    <row r="201" spans="3:12" ht="13.5" hidden="1" customHeight="1" x14ac:dyDescent="0.15"/>
    <row r="202" spans="3:12" ht="13.5" hidden="1" customHeight="1" x14ac:dyDescent="0.15">
      <c r="C202">
        <v>3051440.34</v>
      </c>
      <c r="D202">
        <v>2471008.0299999998</v>
      </c>
      <c r="E202">
        <v>891207.54</v>
      </c>
      <c r="F202">
        <v>844938.62</v>
      </c>
      <c r="G202">
        <v>881859.96</v>
      </c>
      <c r="H202">
        <v>872913.59</v>
      </c>
      <c r="I202">
        <v>870094.62</v>
      </c>
      <c r="J202">
        <v>812383.51</v>
      </c>
      <c r="K202">
        <v>2005638.88</v>
      </c>
      <c r="L202">
        <v>1847971.72</v>
      </c>
    </row>
    <row r="203" spans="3:12" ht="13.5" hidden="1" customHeight="1" x14ac:dyDescent="0.15">
      <c r="C203">
        <v>3051440.34</v>
      </c>
      <c r="D203">
        <v>2471008.0299999998</v>
      </c>
      <c r="E203">
        <v>891207.54</v>
      </c>
      <c r="F203">
        <v>844938.62</v>
      </c>
      <c r="G203">
        <v>881859.96</v>
      </c>
      <c r="H203">
        <v>872913.59</v>
      </c>
      <c r="I203">
        <v>870094.62</v>
      </c>
      <c r="J203">
        <v>812383.51</v>
      </c>
      <c r="K203">
        <v>2005638.88</v>
      </c>
      <c r="L203">
        <v>1847971.72</v>
      </c>
    </row>
    <row r="204" spans="3:12" ht="13.5" hidden="1" customHeight="1" x14ac:dyDescent="0.15">
      <c r="C204">
        <v>2764858.25</v>
      </c>
      <c r="D204">
        <v>2250836.29</v>
      </c>
      <c r="E204">
        <v>874286.16</v>
      </c>
      <c r="F204">
        <v>833163.55</v>
      </c>
      <c r="G204">
        <v>844150.2</v>
      </c>
      <c r="H204">
        <v>838762.42</v>
      </c>
      <c r="I204">
        <v>829263.82</v>
      </c>
      <c r="J204">
        <v>776353.02</v>
      </c>
      <c r="K204">
        <v>1780904.16</v>
      </c>
      <c r="L204">
        <v>1647441</v>
      </c>
    </row>
    <row r="205" spans="3:12" ht="13.5" hidden="1" customHeight="1" x14ac:dyDescent="0.15">
      <c r="C205">
        <v>1676297.55</v>
      </c>
      <c r="D205">
        <v>1391840.37</v>
      </c>
      <c r="E205">
        <v>541168.03</v>
      </c>
      <c r="F205">
        <v>533559.62</v>
      </c>
      <c r="G205">
        <v>566234.25</v>
      </c>
      <c r="H205">
        <v>578999.81999999995</v>
      </c>
      <c r="I205">
        <v>570089.54</v>
      </c>
      <c r="J205">
        <v>530864.11</v>
      </c>
      <c r="K205">
        <v>1348528.82</v>
      </c>
      <c r="L205">
        <v>1243260.94</v>
      </c>
    </row>
    <row r="206" spans="3:12" ht="13.5" hidden="1" customHeight="1" x14ac:dyDescent="0.15">
      <c r="C206">
        <v>2034.16</v>
      </c>
      <c r="D206">
        <v>1803.79</v>
      </c>
      <c r="E206">
        <v>4989.76</v>
      </c>
      <c r="F206">
        <v>4247.3</v>
      </c>
      <c r="G206">
        <v>7325.39</v>
      </c>
      <c r="H206">
        <v>7107.84</v>
      </c>
      <c r="I206">
        <v>1335.83</v>
      </c>
      <c r="J206">
        <v>1009.59</v>
      </c>
      <c r="K206">
        <v>14360.87</v>
      </c>
      <c r="L206">
        <v>13561.58</v>
      </c>
    </row>
    <row r="207" spans="3:12" ht="13.5" hidden="1" customHeight="1" x14ac:dyDescent="0.15">
      <c r="C207">
        <v>682680.28</v>
      </c>
      <c r="D207">
        <v>556979.09</v>
      </c>
      <c r="E207">
        <v>233449.92</v>
      </c>
      <c r="F207">
        <v>198420.98</v>
      </c>
      <c r="G207">
        <v>195846.92</v>
      </c>
      <c r="H207">
        <v>187027.79</v>
      </c>
      <c r="I207">
        <v>219178.87</v>
      </c>
      <c r="J207">
        <v>200651.13</v>
      </c>
      <c r="K207">
        <v>343728.47</v>
      </c>
      <c r="L207">
        <v>329360.45</v>
      </c>
    </row>
    <row r="208" spans="3:12" ht="13.5" hidden="1" customHeight="1" x14ac:dyDescent="0.15">
      <c r="C208">
        <v>109305.85</v>
      </c>
      <c r="D208">
        <v>86873.19</v>
      </c>
      <c r="E208">
        <v>57574.41</v>
      </c>
      <c r="F208">
        <v>55206.7</v>
      </c>
      <c r="G208">
        <v>48392</v>
      </c>
      <c r="H208">
        <v>46317.34</v>
      </c>
      <c r="I208">
        <v>32785.910000000003</v>
      </c>
      <c r="J208">
        <v>29956.14</v>
      </c>
      <c r="K208">
        <v>37209.519999999997</v>
      </c>
      <c r="L208">
        <v>36767.57</v>
      </c>
    </row>
    <row r="209" spans="3:12" ht="13.5" hidden="1" customHeight="1" x14ac:dyDescent="0.15">
      <c r="C209">
        <v>5261.85</v>
      </c>
      <c r="D209">
        <v>2495.4</v>
      </c>
      <c r="E209">
        <v>23422.79</v>
      </c>
      <c r="F209">
        <v>27578.37</v>
      </c>
      <c r="G209">
        <v>6454.59</v>
      </c>
      <c r="H209">
        <v>3093.15</v>
      </c>
      <c r="I209">
        <v>-794.2</v>
      </c>
      <c r="J209">
        <v>6143.31</v>
      </c>
      <c r="K209">
        <v>133.13</v>
      </c>
      <c r="L209">
        <v>-3668.75</v>
      </c>
    </row>
    <row r="210" spans="3:12" ht="13.5" hidden="1" customHeight="1" x14ac:dyDescent="0.15">
      <c r="C210">
        <v>289278.55</v>
      </c>
      <c r="D210">
        <v>210844.46</v>
      </c>
      <c r="E210">
        <v>13681.25</v>
      </c>
      <c r="F210">
        <v>14150.59</v>
      </c>
      <c r="G210">
        <v>19897.04</v>
      </c>
      <c r="H210">
        <v>16216.47</v>
      </c>
      <c r="I210">
        <v>6667.87</v>
      </c>
      <c r="J210">
        <v>7728.74</v>
      </c>
      <c r="K210">
        <v>36943.360000000001</v>
      </c>
      <c r="L210">
        <v>28159.22</v>
      </c>
    </row>
    <row r="211" spans="3:12" ht="13.5" hidden="1" customHeight="1" x14ac:dyDescent="0.15"/>
    <row r="212" spans="3:12" ht="13.5" hidden="1" customHeight="1" x14ac:dyDescent="0.15">
      <c r="C212">
        <v>13959.67</v>
      </c>
      <c r="D212">
        <v>12871.95</v>
      </c>
      <c r="E212">
        <v>1288.72</v>
      </c>
      <c r="F212">
        <v>634.80999999999995</v>
      </c>
      <c r="G212">
        <v>-1015.75</v>
      </c>
      <c r="H212">
        <v>821.31</v>
      </c>
      <c r="I212">
        <v>-1626.99</v>
      </c>
      <c r="J212">
        <v>-37.39</v>
      </c>
      <c r="K212">
        <v>271.01</v>
      </c>
      <c r="L212">
        <v>174.23</v>
      </c>
    </row>
    <row r="213" spans="3:12" ht="13.5" hidden="1" customHeight="1" x14ac:dyDescent="0.15">
      <c r="C213">
        <v>27571.74</v>
      </c>
      <c r="D213">
        <v>15465.86</v>
      </c>
      <c r="E213">
        <v>-519.38</v>
      </c>
      <c r="F213">
        <v>-1427.9</v>
      </c>
      <c r="G213">
        <v>-450.63</v>
      </c>
      <c r="H213">
        <v>109.69</v>
      </c>
      <c r="I213">
        <v>5652.98</v>
      </c>
      <c r="J213">
        <v>7363.8</v>
      </c>
      <c r="K213">
        <v>4022.77</v>
      </c>
      <c r="L213">
        <v>-47.51</v>
      </c>
    </row>
    <row r="214" spans="3:12" ht="13.5" hidden="1" customHeight="1" x14ac:dyDescent="0.15">
      <c r="C214">
        <v>2507.52</v>
      </c>
      <c r="D214">
        <v>3562.13</v>
      </c>
      <c r="E214">
        <v>492.55</v>
      </c>
      <c r="F214">
        <v>79.98</v>
      </c>
      <c r="G214">
        <v>-1129.02</v>
      </c>
      <c r="H214">
        <v>-592.72</v>
      </c>
      <c r="I214">
        <v>50.74</v>
      </c>
      <c r="K214">
        <v>1928.51</v>
      </c>
      <c r="L214">
        <v>2389.11</v>
      </c>
    </row>
    <row r="215" spans="3:12" ht="13.5" hidden="1" customHeight="1" x14ac:dyDescent="0.15"/>
    <row r="216" spans="3:12" ht="13.5" hidden="1" customHeight="1" x14ac:dyDescent="0.15">
      <c r="C216">
        <v>292609.28000000003</v>
      </c>
      <c r="D216">
        <v>237691.58</v>
      </c>
      <c r="E216">
        <v>5012.92</v>
      </c>
      <c r="F216">
        <v>-29302.63</v>
      </c>
      <c r="G216">
        <v>32211.46</v>
      </c>
      <c r="H216">
        <v>36146.699999999997</v>
      </c>
      <c r="I216">
        <v>42127.45</v>
      </c>
      <c r="J216">
        <v>40394.019999999997</v>
      </c>
      <c r="K216">
        <v>212985.65</v>
      </c>
      <c r="L216">
        <v>174525.44</v>
      </c>
    </row>
    <row r="217" spans="3:12" ht="13.5" hidden="1" customHeight="1" x14ac:dyDescent="0.15">
      <c r="C217">
        <v>465.5</v>
      </c>
      <c r="D217">
        <v>292.11</v>
      </c>
      <c r="E217">
        <v>469.05</v>
      </c>
      <c r="F217">
        <v>13336.02</v>
      </c>
      <c r="G217">
        <v>282.87</v>
      </c>
      <c r="H217">
        <v>136.69999999999999</v>
      </c>
      <c r="I217">
        <v>499.41</v>
      </c>
      <c r="J217">
        <v>196.01</v>
      </c>
      <c r="K217">
        <v>15484.69</v>
      </c>
      <c r="L217">
        <v>16955.580000000002</v>
      </c>
    </row>
    <row r="218" spans="3:12" ht="13.5" hidden="1" customHeight="1" x14ac:dyDescent="0.15">
      <c r="C218">
        <v>827.42</v>
      </c>
      <c r="D218">
        <v>3148.84</v>
      </c>
      <c r="E218">
        <v>502.99</v>
      </c>
      <c r="F218">
        <v>458.51</v>
      </c>
      <c r="G218">
        <v>630.20000000000005</v>
      </c>
      <c r="H218">
        <v>843.21</v>
      </c>
      <c r="I218">
        <v>843.62</v>
      </c>
      <c r="J218">
        <v>178.71</v>
      </c>
      <c r="K218">
        <v>1274.6199999999999</v>
      </c>
      <c r="L218">
        <v>2191.52</v>
      </c>
    </row>
    <row r="219" spans="3:12" ht="13.5" hidden="1" customHeight="1" x14ac:dyDescent="0.15"/>
    <row r="220" spans="3:12" ht="13.5" hidden="1" customHeight="1" x14ac:dyDescent="0.15">
      <c r="C220">
        <v>292247.36</v>
      </c>
      <c r="D220">
        <v>234834.85</v>
      </c>
      <c r="E220">
        <v>4978.9799999999996</v>
      </c>
      <c r="F220">
        <v>-16425.12</v>
      </c>
      <c r="G220">
        <v>31864.13</v>
      </c>
      <c r="H220">
        <v>35440.199999999997</v>
      </c>
      <c r="I220">
        <v>41783.230000000003</v>
      </c>
      <c r="J220">
        <v>40411.33</v>
      </c>
      <c r="K220">
        <v>227195.72</v>
      </c>
      <c r="L220">
        <v>189289.5</v>
      </c>
    </row>
    <row r="221" spans="3:12" ht="13.5" hidden="1" customHeight="1" x14ac:dyDescent="0.15">
      <c r="C221">
        <v>30527.97</v>
      </c>
      <c r="D221">
        <v>13722.45</v>
      </c>
      <c r="E221">
        <v>7027.96</v>
      </c>
      <c r="F221">
        <v>1471.18</v>
      </c>
      <c r="G221">
        <v>8075.2</v>
      </c>
      <c r="H221">
        <v>2783.21</v>
      </c>
      <c r="I221">
        <v>8202.6200000000008</v>
      </c>
      <c r="J221">
        <v>7053.95</v>
      </c>
      <c r="K221">
        <v>40487.769999999997</v>
      </c>
      <c r="L221">
        <v>44535.72</v>
      </c>
    </row>
    <row r="222" spans="3:12" ht="13.5" hidden="1" customHeight="1" x14ac:dyDescent="0.15">
      <c r="C222">
        <v>261719.39</v>
      </c>
      <c r="D222">
        <v>221112.4</v>
      </c>
      <c r="E222">
        <v>-2048.9699999999998</v>
      </c>
      <c r="F222">
        <v>-17896.310000000001</v>
      </c>
      <c r="G222">
        <v>23788.93</v>
      </c>
      <c r="H222">
        <v>32656.99</v>
      </c>
      <c r="I222">
        <v>33580.61</v>
      </c>
      <c r="J222">
        <v>33357.370000000003</v>
      </c>
      <c r="K222">
        <v>186707.95</v>
      </c>
      <c r="L222">
        <v>144753.76999999999</v>
      </c>
    </row>
    <row r="223" spans="3:12" ht="13.5" hidden="1" customHeight="1" x14ac:dyDescent="0.15">
      <c r="C223">
        <v>254513.19</v>
      </c>
      <c r="D223">
        <v>211442.95</v>
      </c>
      <c r="E223">
        <v>-982.25</v>
      </c>
      <c r="F223">
        <v>-15142.03</v>
      </c>
      <c r="G223">
        <v>24141.01</v>
      </c>
      <c r="H223">
        <v>32236.14</v>
      </c>
      <c r="I223">
        <v>33580.61</v>
      </c>
      <c r="J223">
        <v>33357.370000000003</v>
      </c>
      <c r="K223">
        <v>179004.49</v>
      </c>
      <c r="L223">
        <v>141653.96</v>
      </c>
    </row>
    <row r="224" spans="3:12" ht="13.5" hidden="1" customHeight="1" x14ac:dyDescent="0.15">
      <c r="C224">
        <v>7206.2</v>
      </c>
      <c r="D224">
        <v>9669.44</v>
      </c>
      <c r="E224">
        <v>-1066.72</v>
      </c>
      <c r="F224">
        <v>-2754.27</v>
      </c>
      <c r="G224">
        <v>-352.08</v>
      </c>
      <c r="H224">
        <v>420.85</v>
      </c>
      <c r="K224">
        <v>7703.45</v>
      </c>
      <c r="L224">
        <v>3099.82</v>
      </c>
    </row>
    <row r="225" spans="3:12" ht="13.5" hidden="1" customHeight="1" x14ac:dyDescent="0.15">
      <c r="C225">
        <v>4.7714999999999996</v>
      </c>
      <c r="D225">
        <v>3.9939</v>
      </c>
      <c r="E225">
        <v>-0.02</v>
      </c>
      <c r="F225">
        <v>-0.27</v>
      </c>
      <c r="G225">
        <v>0.65</v>
      </c>
      <c r="H225">
        <v>0.85</v>
      </c>
      <c r="I225">
        <v>0.84</v>
      </c>
      <c r="J225">
        <v>0.83</v>
      </c>
      <c r="K225">
        <v>2.2000000000000002</v>
      </c>
      <c r="L225">
        <v>1.74</v>
      </c>
    </row>
    <row r="226" spans="3:12" ht="13.5" hidden="1" customHeight="1" x14ac:dyDescent="0.15">
      <c r="C226">
        <v>4.7173999999999996</v>
      </c>
      <c r="D226">
        <v>3.9712000000000001</v>
      </c>
      <c r="E226">
        <v>-0.02</v>
      </c>
      <c r="F226">
        <v>-0.27</v>
      </c>
      <c r="G226">
        <v>0.65</v>
      </c>
      <c r="H226">
        <v>0.85</v>
      </c>
      <c r="I226">
        <v>0.84</v>
      </c>
      <c r="J226">
        <v>0.83</v>
      </c>
      <c r="K226">
        <v>2.2000000000000002</v>
      </c>
      <c r="L226">
        <v>1.74</v>
      </c>
    </row>
    <row r="227" spans="3:12" ht="13.5" hidden="1" customHeight="1" x14ac:dyDescent="0.15">
      <c r="C227">
        <v>9218.91</v>
      </c>
      <c r="D227">
        <v>145.52000000000001</v>
      </c>
      <c r="E227">
        <v>6653.93</v>
      </c>
      <c r="F227">
        <v>-3372.38</v>
      </c>
      <c r="G227">
        <v>-801.86</v>
      </c>
      <c r="H227">
        <v>1567.82</v>
      </c>
      <c r="I227">
        <v>1758.48</v>
      </c>
      <c r="J227">
        <v>-336.65</v>
      </c>
      <c r="K227">
        <v>211.68</v>
      </c>
      <c r="L227">
        <v>-1715.73</v>
      </c>
    </row>
    <row r="228" spans="3:12" ht="13.5" hidden="1" customHeight="1" x14ac:dyDescent="0.15">
      <c r="C228">
        <v>270938.3</v>
      </c>
      <c r="D228">
        <v>221257.92</v>
      </c>
      <c r="E228">
        <v>4604.96</v>
      </c>
      <c r="F228">
        <v>-21268.69</v>
      </c>
      <c r="G228">
        <v>22987.07</v>
      </c>
      <c r="H228">
        <v>34224.81</v>
      </c>
      <c r="I228">
        <v>35339.089999999997</v>
      </c>
      <c r="J228">
        <v>33020.720000000001</v>
      </c>
      <c r="K228">
        <v>186919.63</v>
      </c>
      <c r="L228">
        <v>143038.04999999999</v>
      </c>
    </row>
    <row r="229" spans="3:12" ht="13.5" hidden="1" customHeight="1" x14ac:dyDescent="0.15">
      <c r="C229">
        <v>263728.02</v>
      </c>
      <c r="D229">
        <v>211588.52</v>
      </c>
      <c r="E229">
        <v>5407.27</v>
      </c>
      <c r="F229">
        <v>-19127.39</v>
      </c>
      <c r="G229">
        <v>23339.15</v>
      </c>
      <c r="H229">
        <v>33803.96</v>
      </c>
      <c r="I229">
        <v>35339.089999999997</v>
      </c>
      <c r="J229">
        <v>33020.720000000001</v>
      </c>
      <c r="K229">
        <v>179215.04</v>
      </c>
      <c r="L229">
        <v>139939.93</v>
      </c>
    </row>
    <row r="230" spans="3:12" ht="13.5" hidden="1" customHeight="1" x14ac:dyDescent="0.15">
      <c r="C230">
        <v>7210.28</v>
      </c>
      <c r="D230">
        <v>9669.39</v>
      </c>
      <c r="E230">
        <v>-802.31</v>
      </c>
      <c r="F230">
        <v>-2141.3000000000002</v>
      </c>
      <c r="G230">
        <v>-352.08</v>
      </c>
      <c r="H230">
        <v>420.85</v>
      </c>
      <c r="K230">
        <v>7704.59</v>
      </c>
      <c r="L230">
        <v>3098.12</v>
      </c>
    </row>
  </sheetData>
  <mergeCells count="5">
    <mergeCell ref="C1:D1"/>
    <mergeCell ref="E1:F1"/>
    <mergeCell ref="G1:H1"/>
    <mergeCell ref="I1:J1"/>
    <mergeCell ref="K1:L1"/>
  </mergeCells>
  <phoneticPr fontId="7" type="noConversion"/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G27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22" width="16.5" customWidth="1"/>
  </cols>
  <sheetData>
    <row r="1" spans="1:7" ht="21.95" customHeight="1" x14ac:dyDescent="0.15">
      <c r="A1" s="5" t="s">
        <v>528</v>
      </c>
      <c r="B1" s="5" t="s">
        <v>14</v>
      </c>
      <c r="C1" s="5" t="s">
        <v>144</v>
      </c>
      <c r="D1" s="5" t="s">
        <v>497</v>
      </c>
      <c r="E1" s="5" t="s">
        <v>498</v>
      </c>
      <c r="F1" s="5" t="s">
        <v>499</v>
      </c>
      <c r="G1" s="5" t="s">
        <v>500</v>
      </c>
    </row>
    <row r="2" spans="1:7" ht="20.100000000000001" customHeight="1" x14ac:dyDescent="0.35">
      <c r="A2" s="6"/>
      <c r="B2" s="6"/>
      <c r="C2" s="7">
        <v>46022</v>
      </c>
      <c r="D2" s="7">
        <v>46022</v>
      </c>
      <c r="E2" s="7">
        <v>46022</v>
      </c>
      <c r="F2" s="7">
        <v>46022</v>
      </c>
      <c r="G2" s="7">
        <v>46022</v>
      </c>
    </row>
    <row r="3" spans="1:7" ht="16.5" x14ac:dyDescent="0.35">
      <c r="A3" s="8" t="s">
        <v>176</v>
      </c>
      <c r="B3" s="8" t="s">
        <v>177</v>
      </c>
      <c r="C3" s="9">
        <f>IF(C202="","",IF(样本池!$E$6="原币",C202,IF(ISNUMBER(C202),C202*1,C202)))</f>
        <v>2697633.93</v>
      </c>
      <c r="D3" s="9">
        <f>IF(D202="","",IF(样本池!$E$6="原币",D202,IF(ISNUMBER(D202),D202*1,D202)))</f>
        <v>955820.41</v>
      </c>
      <c r="E3" s="9">
        <f>IF(E202="","",IF(样本池!$E$6="原币",E202,IF(ISNUMBER(E202),E202*1,E202)))</f>
        <v>954208.97</v>
      </c>
      <c r="F3" s="9">
        <f>IF(F202="","",IF(样本池!$E$6="原币",F202,IF(ISNUMBER(F202),F202*1,F202)))</f>
        <v>732169.42</v>
      </c>
      <c r="G3" s="9">
        <f>IF(G202="","",IF(样本池!$E$6="原币",G202,IF(ISNUMBER(G202),G202*1,G202)))</f>
        <v>2067178.82</v>
      </c>
    </row>
    <row r="4" spans="1:7" ht="16.5" x14ac:dyDescent="0.35">
      <c r="A4" s="8" t="s">
        <v>176</v>
      </c>
      <c r="B4" s="8" t="s">
        <v>178</v>
      </c>
      <c r="C4" s="9">
        <f>IF(C203="","",IF(样本池!$E$6="原币",C203,IF(ISNUMBER(C203),C203*1,C203)))</f>
        <v>136799.79999999999</v>
      </c>
      <c r="D4" s="9">
        <f>IF(D203="","",IF(样本池!$E$6="原币",D203,IF(ISNUMBER(D203),D203*1,D203)))</f>
        <v>11768.88</v>
      </c>
      <c r="E4" s="9">
        <f>IF(E203="","",IF(样本池!$E$6="原币",E203,IF(ISNUMBER(E203),E203*1,E203)))</f>
        <v>13005.19</v>
      </c>
      <c r="F4" s="9">
        <f>IF(F203="","",IF(样本池!$E$6="原币",F203,IF(ISNUMBER(F203),F203*1,F203)))</f>
        <v>33147.629999999997</v>
      </c>
      <c r="G4" s="9">
        <f>IF(G203="","",IF(样本池!$E$6="原币",G203,IF(ISNUMBER(G203),G203*1,G203)))</f>
        <v>45071.5</v>
      </c>
    </row>
    <row r="5" spans="1:7" ht="16.5" x14ac:dyDescent="0.35">
      <c r="A5" s="8" t="s">
        <v>176</v>
      </c>
      <c r="B5" s="8" t="s">
        <v>179</v>
      </c>
      <c r="C5" s="9">
        <f>IF(C204="","",IF(样本池!$E$6="原币",C204,IF(ISNUMBER(C204),C204*1,C204)))</f>
        <v>12283.63</v>
      </c>
      <c r="D5" s="9">
        <f>IF(D204="","",IF(样本池!$E$6="原币",D204,IF(ISNUMBER(D204),D204*1,D204)))</f>
        <v>6860.25</v>
      </c>
      <c r="E5" s="9">
        <f>IF(E204="","",IF(样本池!$E$6="原币",E204,IF(ISNUMBER(E204),E204*1,E204)))</f>
        <v>32861.629999999997</v>
      </c>
      <c r="F5" s="9">
        <f>IF(F204="","",IF(样本池!$E$6="原币",F204,IF(ISNUMBER(F204),F204*1,F204)))</f>
        <v>6796.96</v>
      </c>
      <c r="G5" s="9">
        <f>IF(G204="","",IF(样本池!$E$6="原币",G204,IF(ISNUMBER(G204),G204*1,G204)))</f>
        <v>81601.45</v>
      </c>
    </row>
    <row r="6" spans="1:7" ht="16.5" x14ac:dyDescent="0.35">
      <c r="A6" s="8" t="s">
        <v>176</v>
      </c>
      <c r="B6" s="8" t="s">
        <v>180</v>
      </c>
      <c r="C6" s="9">
        <f>IF(C205="","",IF(样本池!$E$6="原币",C205,IF(ISNUMBER(C205),C205*1,C205)))</f>
        <v>2846717.37</v>
      </c>
      <c r="D6" s="9">
        <f>IF(D205="","",IF(样本池!$E$6="原币",D205,IF(ISNUMBER(D205),D205*1,D205)))</f>
        <v>974449.54</v>
      </c>
      <c r="E6" s="9">
        <f>IF(E205="","",IF(样本池!$E$6="原币",E205,IF(ISNUMBER(E205),E205*1,E205)))</f>
        <v>1000075.79</v>
      </c>
      <c r="F6" s="9">
        <f>IF(F205="","",IF(样本池!$E$6="原币",F205,IF(ISNUMBER(F205),F205*1,F205)))</f>
        <v>772114.01</v>
      </c>
      <c r="G6" s="9">
        <f>IF(G205="","",IF(样本池!$E$6="原币",G205,IF(ISNUMBER(G205),G205*1,G205)))</f>
        <v>2193851.77</v>
      </c>
    </row>
    <row r="7" spans="1:7" ht="16.5" x14ac:dyDescent="0.35">
      <c r="A7" s="8" t="s">
        <v>176</v>
      </c>
      <c r="B7" s="8" t="s">
        <v>181</v>
      </c>
      <c r="C7" s="9">
        <f>IF(C206="","",IF(样本池!$E$6="原币",C206,IF(ISNUMBER(C206),C206*1,C206)))</f>
        <v>1841862.14</v>
      </c>
      <c r="D7" s="9">
        <f>IF(D206="","",IF(样本池!$E$6="原币",D206,IF(ISNUMBER(D206),D206*1,D206)))</f>
        <v>527676.66</v>
      </c>
      <c r="E7" s="9">
        <f>IF(E206="","",IF(样本池!$E$6="原币",E206,IF(ISNUMBER(E206),E206*1,E206)))</f>
        <v>517450.93</v>
      </c>
      <c r="F7" s="9">
        <f>IF(F206="","",IF(样本池!$E$6="原币",F206,IF(ISNUMBER(F206),F206*1,F206)))</f>
        <v>351312.9</v>
      </c>
      <c r="G7" s="9">
        <f>IF(G206="","",IF(样本池!$E$6="原币",G206,IF(ISNUMBER(G206),G206*1,G206)))</f>
        <v>1074373.79</v>
      </c>
    </row>
    <row r="8" spans="1:7" ht="16.5" x14ac:dyDescent="0.35">
      <c r="A8" s="8" t="s">
        <v>176</v>
      </c>
      <c r="B8" s="8" t="s">
        <v>182</v>
      </c>
      <c r="C8" s="9">
        <f>IF(C207="","",IF(样本池!$E$6="原币",C207,IF(ISNUMBER(C207),C207*1,C207)))</f>
        <v>375742.93</v>
      </c>
      <c r="D8" s="9">
        <f>IF(D207="","",IF(样本池!$E$6="原币",D207,IF(ISNUMBER(D207),D207*1,D207)))</f>
        <v>149649.95000000001</v>
      </c>
      <c r="E8" s="9">
        <f>IF(E207="","",IF(样本池!$E$6="原币",E207,IF(ISNUMBER(E207),E207*1,E207)))</f>
        <v>145817.88</v>
      </c>
      <c r="F8" s="9">
        <f>IF(F207="","",IF(样本池!$E$6="原币",F207,IF(ISNUMBER(F207),F207*1,F207)))</f>
        <v>48025.22</v>
      </c>
      <c r="G8" s="9">
        <f>IF(G207="","",IF(样本池!$E$6="原币",G207,IF(ISNUMBER(G207),G207*1,G207)))</f>
        <v>366204.92</v>
      </c>
    </row>
    <row r="9" spans="1:7" ht="16.5" x14ac:dyDescent="0.35">
      <c r="A9" s="8" t="s">
        <v>176</v>
      </c>
      <c r="B9" s="8" t="s">
        <v>183</v>
      </c>
      <c r="C9" s="9">
        <f>IF(C208="","",IF(样本池!$E$6="原币",C208,IF(ISNUMBER(C208),C208*1,C208)))</f>
        <v>177776.33</v>
      </c>
      <c r="D9" s="9">
        <f>IF(D208="","",IF(样本池!$E$6="原币",D208,IF(ISNUMBER(D208),D208*1,D208)))</f>
        <v>24898.23</v>
      </c>
      <c r="E9" s="9">
        <f>IF(E208="","",IF(样本池!$E$6="原币",E208,IF(ISNUMBER(E208),E208*1,E208)))</f>
        <v>64833.52</v>
      </c>
      <c r="F9" s="9">
        <f>IF(F208="","",IF(样本池!$E$6="原币",F208,IF(ISNUMBER(F208),F208*1,F208)))</f>
        <v>85162.69</v>
      </c>
      <c r="G9" s="9">
        <f>IF(G208="","",IF(样本池!$E$6="原币",G208,IF(ISNUMBER(G208),G208*1,G208)))</f>
        <v>123683.88</v>
      </c>
    </row>
    <row r="10" spans="1:7" ht="16.5" x14ac:dyDescent="0.35">
      <c r="A10" s="8" t="s">
        <v>176</v>
      </c>
      <c r="B10" s="8" t="s">
        <v>184</v>
      </c>
      <c r="C10" s="9">
        <f>IF(C209="","",IF(样本池!$E$6="原币",C209,IF(ISNUMBER(C209),C209*1,C209)))</f>
        <v>403255.31</v>
      </c>
      <c r="D10" s="9">
        <f>IF(D209="","",IF(样本池!$E$6="原币",D209,IF(ISNUMBER(D209),D209*1,D209)))</f>
        <v>183917.37</v>
      </c>
      <c r="E10" s="9">
        <f>IF(E209="","",IF(样本池!$E$6="原币",E209,IF(ISNUMBER(E209),E209*1,E209)))</f>
        <v>187881.13</v>
      </c>
      <c r="F10" s="9">
        <f>IF(F209="","",IF(样本池!$E$6="原币",F209,IF(ISNUMBER(F209),F209*1,F209)))</f>
        <v>40565.5</v>
      </c>
      <c r="G10" s="9">
        <f>IF(G209="","",IF(样本池!$E$6="原币",G209,IF(ISNUMBER(G209),G209*1,G209)))</f>
        <v>352167.56</v>
      </c>
    </row>
    <row r="11" spans="1:7" ht="16.5" x14ac:dyDescent="0.35">
      <c r="A11" s="8" t="s">
        <v>176</v>
      </c>
      <c r="B11" s="8" t="s">
        <v>185</v>
      </c>
      <c r="C11" s="9">
        <f>IF(C210="","",IF(样本池!$E$6="原币",C210,IF(ISNUMBER(C210),C210*1,C210)))</f>
        <v>2798636.7</v>
      </c>
      <c r="D11" s="9">
        <f>IF(D210="","",IF(样本池!$E$6="原币",D210,IF(ISNUMBER(D210),D210*1,D210)))</f>
        <v>886142.21</v>
      </c>
      <c r="E11" s="9">
        <f>IF(E210="","",IF(样本池!$E$6="原币",E210,IF(ISNUMBER(E210),E210*1,E210)))</f>
        <v>915983.46</v>
      </c>
      <c r="F11" s="9">
        <f>IF(F210="","",IF(样本池!$E$6="原币",F210,IF(ISNUMBER(F210),F210*1,F210)))</f>
        <v>525066.31000000006</v>
      </c>
      <c r="G11" s="9">
        <f>IF(G210="","",IF(样本池!$E$6="原币",G210,IF(ISNUMBER(G210),G210*1,G210)))</f>
        <v>1916430.15</v>
      </c>
    </row>
    <row r="12" spans="1:7" ht="16.5" x14ac:dyDescent="0.35">
      <c r="A12" s="8" t="s">
        <v>176</v>
      </c>
      <c r="B12" s="8" t="s">
        <v>186</v>
      </c>
      <c r="C12" s="9">
        <f>IF(C211="","",IF(样本池!$E$6="原币",C211,IF(ISNUMBER(C211),C211*1,C211)))</f>
        <v>48080.66</v>
      </c>
      <c r="D12" s="9">
        <f>IF(D211="","",IF(样本池!$E$6="原币",D211,IF(ISNUMBER(D211),D211*1,D211)))</f>
        <v>88307.33</v>
      </c>
      <c r="E12" s="9">
        <f>IF(E211="","",IF(样本池!$E$6="原币",E211,IF(ISNUMBER(E211),E211*1,E211)))</f>
        <v>84092.34</v>
      </c>
      <c r="F12" s="9">
        <f>IF(F211="","",IF(样本池!$E$6="原币",F211,IF(ISNUMBER(F211),F211*1,F211)))</f>
        <v>247047.7</v>
      </c>
      <c r="G12" s="9">
        <f>IF(G211="","",IF(样本池!$E$6="原币",G211,IF(ISNUMBER(G211),G211*1,G211)))</f>
        <v>277421.62</v>
      </c>
    </row>
    <row r="13" spans="1:7" ht="16.5" x14ac:dyDescent="0.35">
      <c r="A13" s="8" t="s">
        <v>187</v>
      </c>
      <c r="B13" s="8" t="s">
        <v>188</v>
      </c>
      <c r="C13" s="9">
        <f>IF(C212="","",IF(样本池!$E$6="原币",C212,IF(ISNUMBER(C212),C212*1,C212)))</f>
        <v>9963.4500000000007</v>
      </c>
      <c r="D13" s="9">
        <f>IF(D212="","",IF(样本池!$E$6="原币",D212,IF(ISNUMBER(D212),D212*1,D212)))</f>
        <v>10025.030000000001</v>
      </c>
      <c r="E13" s="9">
        <f>IF(E212="","",IF(样本池!$E$6="原币",E212,IF(ISNUMBER(E212),E212*1,E212)))</f>
        <v>4502.58</v>
      </c>
      <c r="F13" s="9">
        <f>IF(F212="","",IF(样本池!$E$6="原币",F212,IF(ISNUMBER(F212),F212*1,F212)))</f>
        <v>331270.14</v>
      </c>
      <c r="G13" s="9">
        <f>IF(G212="","",IF(样本池!$E$6="原币",G212,IF(ISNUMBER(G212),G212*1,G212)))</f>
        <v>7498.04</v>
      </c>
    </row>
    <row r="14" spans="1:7" ht="16.5" x14ac:dyDescent="0.35">
      <c r="A14" s="8" t="s">
        <v>187</v>
      </c>
      <c r="B14" s="8" t="s">
        <v>189</v>
      </c>
      <c r="C14" s="9">
        <f>IF(C213="","",IF(样本池!$E$6="原币",C213,IF(ISNUMBER(C213),C213*1,C213)))</f>
        <v>45886.1</v>
      </c>
      <c r="D14" s="9" t="str">
        <f>IF(D213="","",IF(样本池!$E$6="原币",D213,IF(ISNUMBER(D213),D213*1,D213)))</f>
        <v/>
      </c>
      <c r="E14" s="9">
        <f>IF(E213="","",IF(样本池!$E$6="原币",E213,IF(ISNUMBER(E213),E213*1,E213)))</f>
        <v>892.26</v>
      </c>
      <c r="F14" s="9">
        <f>IF(F213="","",IF(样本池!$E$6="原币",F213,IF(ISNUMBER(F213),F213*1,F213)))</f>
        <v>5467.8</v>
      </c>
      <c r="G14" s="9">
        <f>IF(G213="","",IF(样本池!$E$6="原币",G213,IF(ISNUMBER(G213),G213*1,G213)))</f>
        <v>7001.08</v>
      </c>
    </row>
    <row r="15" spans="1:7" ht="16.5" x14ac:dyDescent="0.35">
      <c r="A15" s="8" t="s">
        <v>187</v>
      </c>
      <c r="B15" s="8" t="s">
        <v>190</v>
      </c>
      <c r="C15" s="9" t="str">
        <f>IF(C214="","",IF(样本池!$E$6="原币",C214,IF(ISNUMBER(C214),C214*1,C214)))</f>
        <v/>
      </c>
      <c r="D15" s="9">
        <f>IF(D214="","",IF(样本池!$E$6="原币",D214,IF(ISNUMBER(D214),D214*1,D214)))</f>
        <v>178.86</v>
      </c>
      <c r="E15" s="9">
        <f>IF(E214="","",IF(样本池!$E$6="原币",E214,IF(ISNUMBER(E214),E214*1,E214)))</f>
        <v>717.64</v>
      </c>
      <c r="F15" s="9">
        <f>IF(F214="","",IF(样本池!$E$6="原币",F214,IF(ISNUMBER(F214),F214*1,F214)))</f>
        <v>189.35</v>
      </c>
      <c r="G15" s="9">
        <f>IF(G214="","",IF(样本池!$E$6="原币",G214,IF(ISNUMBER(G214),G214*1,G214)))</f>
        <v>360.96</v>
      </c>
    </row>
    <row r="16" spans="1:7" ht="16.5" x14ac:dyDescent="0.35">
      <c r="A16" s="8" t="s">
        <v>187</v>
      </c>
      <c r="B16" s="8" t="s">
        <v>191</v>
      </c>
      <c r="C16" s="9" t="str">
        <f>IF(C215="","",IF(样本池!$E$6="原币",C215,IF(ISNUMBER(C215),C215*1,C215)))</f>
        <v/>
      </c>
      <c r="D16" s="9" t="str">
        <f>IF(D215="","",IF(样本池!$E$6="原币",D215,IF(ISNUMBER(D215),D215*1,D215)))</f>
        <v/>
      </c>
      <c r="E16" s="9" t="str">
        <f>IF(E215="","",IF(样本池!$E$6="原币",E215,IF(ISNUMBER(E215),E215*1,E215)))</f>
        <v/>
      </c>
      <c r="F16" s="9" t="str">
        <f>IF(F215="","",IF(样本池!$E$6="原币",F215,IF(ISNUMBER(F215),F215*1,F215)))</f>
        <v/>
      </c>
      <c r="G16" s="9" t="str">
        <f>IF(G215="","",IF(样本池!$E$6="原币",G215,IF(ISNUMBER(G215),G215*1,G215)))</f>
        <v/>
      </c>
    </row>
    <row r="17" spans="1:7" ht="16.5" x14ac:dyDescent="0.35">
      <c r="A17" s="8" t="s">
        <v>187</v>
      </c>
      <c r="B17" s="8" t="s">
        <v>192</v>
      </c>
      <c r="C17" s="9">
        <f>IF(C216="","",IF(样本池!$E$6="原币",C216,IF(ISNUMBER(C216),C216*1,C216)))</f>
        <v>447736.31</v>
      </c>
      <c r="D17" s="9">
        <f>IF(D216="","",IF(样本池!$E$6="原币",D216,IF(ISNUMBER(D216),D216*1,D216)))</f>
        <v>11.26</v>
      </c>
      <c r="E17" s="9">
        <f>IF(E216="","",IF(样本池!$E$6="原币",E216,IF(ISNUMBER(E216),E216*1,E216)))</f>
        <v>34954.129999999997</v>
      </c>
      <c r="F17" s="9">
        <f>IF(F216="","",IF(样本池!$E$6="原币",F216,IF(ISNUMBER(F216),F216*1,F216)))</f>
        <v>8824.18</v>
      </c>
      <c r="G17" s="9">
        <f>IF(G216="","",IF(样本池!$E$6="原币",G216,IF(ISNUMBER(G216),G216*1,G216)))</f>
        <v>545664.09</v>
      </c>
    </row>
    <row r="18" spans="1:7" ht="16.5" x14ac:dyDescent="0.35">
      <c r="A18" s="8" t="s">
        <v>187</v>
      </c>
      <c r="B18" s="8" t="s">
        <v>193</v>
      </c>
      <c r="C18" s="9">
        <f>IF(C217="","",IF(样本池!$E$6="原币",C217,IF(ISNUMBER(C217),C217*1,C217)))</f>
        <v>503585.86</v>
      </c>
      <c r="D18" s="9">
        <f>IF(D217="","",IF(样本池!$E$6="原币",D217,IF(ISNUMBER(D217),D217*1,D217)))</f>
        <v>10215.15</v>
      </c>
      <c r="E18" s="9">
        <f>IF(E217="","",IF(样本池!$E$6="原币",E217,IF(ISNUMBER(E217),E217*1,E217)))</f>
        <v>41066.61</v>
      </c>
      <c r="F18" s="9">
        <f>IF(F217="","",IF(样本池!$E$6="原币",F217,IF(ISNUMBER(F217),F217*1,F217)))</f>
        <v>345751.47</v>
      </c>
      <c r="G18" s="9">
        <f>IF(G217="","",IF(样本池!$E$6="原币",G217,IF(ISNUMBER(G217),G217*1,G217)))</f>
        <v>560524.17000000004</v>
      </c>
    </row>
    <row r="19" spans="1:7" ht="16.5" x14ac:dyDescent="0.35">
      <c r="A19" s="8" t="s">
        <v>187</v>
      </c>
      <c r="B19" s="8" t="s">
        <v>194</v>
      </c>
      <c r="C19" s="9">
        <f>IF(C218="","",IF(样本池!$E$6="原币",C218,IF(ISNUMBER(C218),C218*1,C218)))</f>
        <v>36512.019999999997</v>
      </c>
      <c r="D19" s="9">
        <f>IF(D218="","",IF(样本池!$E$6="原币",D218,IF(ISNUMBER(D218),D218*1,D218)))</f>
        <v>38625.35</v>
      </c>
      <c r="E19" s="9">
        <f>IF(E218="","",IF(样本池!$E$6="原币",E218,IF(ISNUMBER(E218),E218*1,E218)))</f>
        <v>59101.49</v>
      </c>
      <c r="F19" s="9">
        <f>IF(F218="","",IF(样本池!$E$6="原币",F218,IF(ISNUMBER(F218),F218*1,F218)))</f>
        <v>3593</v>
      </c>
      <c r="G19" s="9">
        <f>IF(G218="","",IF(样本池!$E$6="原币",G218,IF(ISNUMBER(G218),G218*1,G218)))</f>
        <v>63093.15</v>
      </c>
    </row>
    <row r="20" spans="1:7" ht="16.5" x14ac:dyDescent="0.35">
      <c r="A20" s="8" t="s">
        <v>187</v>
      </c>
      <c r="B20" s="8" t="s">
        <v>195</v>
      </c>
      <c r="C20" s="9">
        <f>IF(C219="","",IF(样本池!$E$6="原币",C219,IF(ISNUMBER(C219),C219*1,C219)))</f>
        <v>9199.7199999999993</v>
      </c>
      <c r="D20" s="9">
        <f>IF(D219="","",IF(样本池!$E$6="原币",D219,IF(ISNUMBER(D219),D219*1,D219)))</f>
        <v>800</v>
      </c>
      <c r="E20" s="9" t="str">
        <f>IF(E219="","",IF(样本池!$E$6="原币",E219,IF(ISNUMBER(E219),E219*1,E219)))</f>
        <v/>
      </c>
      <c r="F20" s="9">
        <f>IF(F219="","",IF(样本池!$E$6="原币",F219,IF(ISNUMBER(F219),F219*1,F219)))</f>
        <v>309651.92</v>
      </c>
      <c r="G20" s="9" t="str">
        <f>IF(G219="","",IF(样本池!$E$6="原币",G219,IF(ISNUMBER(G219),G219*1,G219)))</f>
        <v/>
      </c>
    </row>
    <row r="21" spans="1:7" ht="16.5" x14ac:dyDescent="0.35">
      <c r="A21" s="8" t="s">
        <v>187</v>
      </c>
      <c r="B21" s="8" t="s">
        <v>196</v>
      </c>
      <c r="C21" s="9" t="str">
        <f>IF(C220="","",IF(样本池!$E$6="原币",C220,IF(ISNUMBER(C220),C220*1,C220)))</f>
        <v/>
      </c>
      <c r="D21" s="9">
        <f>IF(D220="","",IF(样本池!$E$6="原币",D220,IF(ISNUMBER(D220),D220*1,D220)))</f>
        <v>271.48</v>
      </c>
      <c r="E21" s="9" t="str">
        <f>IF(E220="","",IF(样本池!$E$6="原币",E220,IF(ISNUMBER(E220),E220*1,E220)))</f>
        <v/>
      </c>
      <c r="F21" s="9" t="str">
        <f>IF(F220="","",IF(样本池!$E$6="原币",F220,IF(ISNUMBER(F220),F220*1,F220)))</f>
        <v/>
      </c>
      <c r="G21" s="9">
        <f>IF(G220="","",IF(样本池!$E$6="原币",G220,IF(ISNUMBER(G220),G220*1,G220)))</f>
        <v>2598.1</v>
      </c>
    </row>
    <row r="22" spans="1:7" ht="16.5" x14ac:dyDescent="0.35">
      <c r="A22" s="8" t="s">
        <v>187</v>
      </c>
      <c r="B22" s="8" t="s">
        <v>197</v>
      </c>
      <c r="C22" s="9">
        <f>IF(C221="","",IF(样本池!$E$6="原币",C221,IF(ISNUMBER(C221),C221*1,C221)))</f>
        <v>427273.42</v>
      </c>
      <c r="D22" s="9">
        <f>IF(D221="","",IF(样本池!$E$6="原币",D221,IF(ISNUMBER(D221),D221*1,D221)))</f>
        <v>8338.42</v>
      </c>
      <c r="E22" s="9">
        <f>IF(E221="","",IF(样本池!$E$6="原币",E221,IF(ISNUMBER(E221),E221*1,E221)))</f>
        <v>39800</v>
      </c>
      <c r="F22" s="9">
        <f>IF(F221="","",IF(样本池!$E$6="原币",F221,IF(ISNUMBER(F221),F221*1,F221)))</f>
        <v>14077.15</v>
      </c>
      <c r="G22" s="9">
        <f>IF(G221="","",IF(样本池!$E$6="原币",G221,IF(ISNUMBER(G221),G221*1,G221)))</f>
        <v>616286.94999999995</v>
      </c>
    </row>
    <row r="23" spans="1:7" ht="16.5" x14ac:dyDescent="0.35">
      <c r="A23" s="8" t="s">
        <v>187</v>
      </c>
      <c r="B23" s="8" t="s">
        <v>198</v>
      </c>
      <c r="C23" s="9">
        <f>IF(C222="","",IF(样本池!$E$6="原币",C222,IF(ISNUMBER(C222),C222*1,C222)))</f>
        <v>472985.16</v>
      </c>
      <c r="D23" s="9">
        <f>IF(D222="","",IF(样本池!$E$6="原币",D222,IF(ISNUMBER(D222),D222*1,D222)))</f>
        <v>48035.25</v>
      </c>
      <c r="E23" s="9">
        <f>IF(E222="","",IF(样本池!$E$6="原币",E222,IF(ISNUMBER(E222),E222*1,E222)))</f>
        <v>98901.49</v>
      </c>
      <c r="F23" s="9">
        <f>IF(F222="","",IF(样本池!$E$6="原币",F222,IF(ISNUMBER(F222),F222*1,F222)))</f>
        <v>327322.07</v>
      </c>
      <c r="G23" s="9">
        <f>IF(G222="","",IF(样本池!$E$6="原币",G222,IF(ISNUMBER(G222),G222*1,G222)))</f>
        <v>681978.19</v>
      </c>
    </row>
    <row r="24" spans="1:7" ht="16.5" x14ac:dyDescent="0.35">
      <c r="A24" s="8" t="s">
        <v>187</v>
      </c>
      <c r="B24" s="8" t="s">
        <v>199</v>
      </c>
      <c r="C24" s="9">
        <f>IF(C223="","",IF(样本池!$E$6="原币",C223,IF(ISNUMBER(C223),C223*1,C223)))</f>
        <v>30600.7</v>
      </c>
      <c r="D24" s="9">
        <f>IF(D223="","",IF(样本池!$E$6="原币",D223,IF(ISNUMBER(D223),D223*1,D223)))</f>
        <v>-37820.1</v>
      </c>
      <c r="E24" s="9">
        <f>IF(E223="","",IF(样本池!$E$6="原币",E223,IF(ISNUMBER(E223),E223*1,E223)))</f>
        <v>-57834.879999999997</v>
      </c>
      <c r="F24" s="9">
        <f>IF(F223="","",IF(样本池!$E$6="原币",F223,IF(ISNUMBER(F223),F223*1,F223)))</f>
        <v>18429.400000000001</v>
      </c>
      <c r="G24" s="9">
        <f>IF(G223="","",IF(样本池!$E$6="原币",G223,IF(ISNUMBER(G223),G223*1,G223)))</f>
        <v>-121454.02</v>
      </c>
    </row>
    <row r="25" spans="1:7" ht="16.5" x14ac:dyDescent="0.35">
      <c r="A25" s="8" t="s">
        <v>200</v>
      </c>
      <c r="B25" s="8" t="s">
        <v>201</v>
      </c>
      <c r="C25" s="9">
        <f>IF(C224="","",IF(样本池!$E$6="原币",C224,IF(ISNUMBER(C224),C224*1,C224)))</f>
        <v>16436.82</v>
      </c>
      <c r="D25" s="9">
        <f>IF(D224="","",IF(样本池!$E$6="原币",D224,IF(ISNUMBER(D224),D224*1,D224)))</f>
        <v>30</v>
      </c>
      <c r="E25" s="9">
        <f>IF(E224="","",IF(样本池!$E$6="原币",E224,IF(ISNUMBER(E224),E224*1,E224)))</f>
        <v>750</v>
      </c>
      <c r="F25" s="9">
        <f>IF(F224="","",IF(样本池!$E$6="原币",F224,IF(ISNUMBER(F224),F224*1,F224)))</f>
        <v>1115.6199999999999</v>
      </c>
      <c r="G25" s="9">
        <f>IF(G224="","",IF(样本池!$E$6="原币",G224,IF(ISNUMBER(G224),G224*1,G224)))</f>
        <v>600</v>
      </c>
    </row>
    <row r="26" spans="1:7" ht="16.5" x14ac:dyDescent="0.35">
      <c r="A26" s="8" t="s">
        <v>200</v>
      </c>
      <c r="B26" s="8" t="s">
        <v>202</v>
      </c>
      <c r="C26" s="9">
        <f>IF(C225="","",IF(样本池!$E$6="原币",C225,IF(ISNUMBER(C225),C225*1,C225)))</f>
        <v>5</v>
      </c>
      <c r="D26" s="9">
        <f>IF(D225="","",IF(样本池!$E$6="原币",D225,IF(ISNUMBER(D225),D225*1,D225)))</f>
        <v>30</v>
      </c>
      <c r="E26" s="9">
        <f>IF(E225="","",IF(样本池!$E$6="原币",E225,IF(ISNUMBER(E225),E225*1,E225)))</f>
        <v>750</v>
      </c>
      <c r="F26" s="9" t="str">
        <f>IF(F225="","",IF(样本池!$E$6="原币",F225,IF(ISNUMBER(F225),F225*1,F225)))</f>
        <v/>
      </c>
      <c r="G26" s="9">
        <f>IF(G225="","",IF(样本池!$E$6="原币",G225,IF(ISNUMBER(G225),G225*1,G225)))</f>
        <v>600</v>
      </c>
    </row>
    <row r="27" spans="1:7" ht="16.5" x14ac:dyDescent="0.35">
      <c r="A27" s="8" t="s">
        <v>200</v>
      </c>
      <c r="B27" s="8" t="s">
        <v>203</v>
      </c>
      <c r="C27" s="9">
        <f>IF(C226="","",IF(样本池!$E$6="原币",C226,IF(ISNUMBER(C226),C226*1,C226)))</f>
        <v>107623.74</v>
      </c>
      <c r="D27" s="9">
        <f>IF(D226="","",IF(样本池!$E$6="原币",D226,IF(ISNUMBER(D226),D226*1,D226)))</f>
        <v>333512.44</v>
      </c>
      <c r="E27" s="9">
        <f>IF(E226="","",IF(样本池!$E$6="原币",E226,IF(ISNUMBER(E226),E226*1,E226)))</f>
        <v>388204.34</v>
      </c>
      <c r="F27" s="9">
        <f>IF(F226="","",IF(样本池!$E$6="原币",F226,IF(ISNUMBER(F226),F226*1,F226)))</f>
        <v>5910</v>
      </c>
      <c r="G27" s="9">
        <f>IF(G226="","",IF(样本池!$E$6="原币",G226,IF(ISNUMBER(G226),G226*1,G226)))</f>
        <v>176146.98</v>
      </c>
    </row>
    <row r="28" spans="1:7" ht="16.5" x14ac:dyDescent="0.35">
      <c r="A28" s="8" t="s">
        <v>200</v>
      </c>
      <c r="B28" s="8" t="s">
        <v>204</v>
      </c>
      <c r="C28" s="9">
        <f>IF(C227="","",IF(样本池!$E$6="原币",C227,IF(ISNUMBER(C227),C227*1,C227)))</f>
        <v>109692</v>
      </c>
      <c r="D28" s="9" t="str">
        <f>IF(D227="","",IF(样本池!$E$6="原币",D227,IF(ISNUMBER(D227),D227*1,D227)))</f>
        <v/>
      </c>
      <c r="E28" s="9" t="str">
        <f>IF(E227="","",IF(样本池!$E$6="原币",E227,IF(ISNUMBER(E227),E227*1,E227)))</f>
        <v/>
      </c>
      <c r="F28" s="9" t="str">
        <f>IF(F227="","",IF(样本池!$E$6="原币",F227,IF(ISNUMBER(F227),F227*1,F227)))</f>
        <v/>
      </c>
      <c r="G28" s="9" t="str">
        <f>IF(G227="","",IF(样本池!$E$6="原币",G227,IF(ISNUMBER(G227),G227*1,G227)))</f>
        <v/>
      </c>
    </row>
    <row r="29" spans="1:7" ht="16.5" x14ac:dyDescent="0.35">
      <c r="A29" s="8" t="s">
        <v>200</v>
      </c>
      <c r="B29" s="8" t="s">
        <v>205</v>
      </c>
      <c r="C29" s="9" t="str">
        <f>IF(C228="","",IF(样本池!$E$6="原币",C228,IF(ISNUMBER(C228),C228*1,C228)))</f>
        <v/>
      </c>
      <c r="D29" s="9">
        <f>IF(D228="","",IF(样本池!$E$6="原币",D228,IF(ISNUMBER(D228),D228*1,D228)))</f>
        <v>31373.43</v>
      </c>
      <c r="E29" s="9">
        <f>IF(E228="","",IF(样本池!$E$6="原币",E228,IF(ISNUMBER(E228),E228*1,E228)))</f>
        <v>4390</v>
      </c>
      <c r="F29" s="9">
        <f>IF(F228="","",IF(样本池!$E$6="原币",F228,IF(ISNUMBER(F228),F228*1,F228)))</f>
        <v>6406.38</v>
      </c>
      <c r="G29" s="9">
        <f>IF(G228="","",IF(样本池!$E$6="原币",G228,IF(ISNUMBER(G228),G228*1,G228)))</f>
        <v>3000</v>
      </c>
    </row>
    <row r="30" spans="1:7" ht="16.5" x14ac:dyDescent="0.35">
      <c r="A30" s="8" t="s">
        <v>200</v>
      </c>
      <c r="B30" s="8" t="s">
        <v>206</v>
      </c>
      <c r="C30" s="9">
        <f>IF(C229="","",IF(样本池!$E$6="原币",C229,IF(ISNUMBER(C229),C229*1,C229)))</f>
        <v>233752.56</v>
      </c>
      <c r="D30" s="9">
        <f>IF(D229="","",IF(样本池!$E$6="原币",D229,IF(ISNUMBER(D229),D229*1,D229)))</f>
        <v>364915.87</v>
      </c>
      <c r="E30" s="9">
        <f>IF(E229="","",IF(样本池!$E$6="原币",E229,IF(ISNUMBER(E229),E229*1,E229)))</f>
        <v>393344.34</v>
      </c>
      <c r="F30" s="9">
        <f>IF(F229="","",IF(样本池!$E$6="原币",F229,IF(ISNUMBER(F229),F229*1,F229)))</f>
        <v>13432</v>
      </c>
      <c r="G30" s="9">
        <f>IF(G229="","",IF(样本池!$E$6="原币",G229,IF(ISNUMBER(G229),G229*1,G229)))</f>
        <v>179746.98</v>
      </c>
    </row>
    <row r="31" spans="1:7" ht="16.5" x14ac:dyDescent="0.35">
      <c r="A31" s="8" t="s">
        <v>200</v>
      </c>
      <c r="B31" s="8" t="s">
        <v>207</v>
      </c>
      <c r="C31" s="9">
        <f>IF(C230="","",IF(样本池!$E$6="原币",C230,IF(ISNUMBER(C230),C230*1,C230)))</f>
        <v>105125.38</v>
      </c>
      <c r="D31" s="9">
        <f>IF(D230="","",IF(样本池!$E$6="原币",D230,IF(ISNUMBER(D230),D230*1,D230)))</f>
        <v>322120.71000000002</v>
      </c>
      <c r="E31" s="9">
        <f>IF(E230="","",IF(样本池!$E$6="原币",E230,IF(ISNUMBER(E230),E230*1,E230)))</f>
        <v>362480.51</v>
      </c>
      <c r="F31" s="9">
        <f>IF(F230="","",IF(样本池!$E$6="原币",F230,IF(ISNUMBER(F230),F230*1,F230)))</f>
        <v>200161.15</v>
      </c>
      <c r="G31" s="9">
        <f>IF(G230="","",IF(样本池!$E$6="原币",G230,IF(ISNUMBER(G230),G230*1,G230)))</f>
        <v>256700</v>
      </c>
    </row>
    <row r="32" spans="1:7" ht="16.5" x14ac:dyDescent="0.35">
      <c r="A32" s="8" t="s">
        <v>200</v>
      </c>
      <c r="B32" s="8" t="s">
        <v>208</v>
      </c>
      <c r="C32" s="9">
        <f>IF(C231="","",IF(样本池!$E$6="原币",C231,IF(ISNUMBER(C231),C231*1,C231)))</f>
        <v>121206.1</v>
      </c>
      <c r="D32" s="9">
        <f>IF(D231="","",IF(样本池!$E$6="原币",D231,IF(ISNUMBER(D231),D231*1,D231)))</f>
        <v>12236.47</v>
      </c>
      <c r="E32" s="9">
        <f>IF(E231="","",IF(样本池!$E$6="原币",E231,IF(ISNUMBER(E231),E231*1,E231)))</f>
        <v>38809.69</v>
      </c>
      <c r="F32" s="9">
        <f>IF(F231="","",IF(样本池!$E$6="原币",F231,IF(ISNUMBER(F231),F231*1,F231)))</f>
        <v>17851.650000000001</v>
      </c>
      <c r="G32" s="9">
        <f>IF(G231="","",IF(样本池!$E$6="原币",G231,IF(ISNUMBER(G231),G231*1,G231)))</f>
        <v>110439.78</v>
      </c>
    </row>
    <row r="33" spans="1:7" ht="16.5" x14ac:dyDescent="0.35">
      <c r="A33" s="8" t="s">
        <v>200</v>
      </c>
      <c r="B33" s="8" t="s">
        <v>209</v>
      </c>
      <c r="C33" s="9">
        <f>IF(C232="","",IF(样本池!$E$6="原币",C232,IF(ISNUMBER(C232),C232*1,C232)))</f>
        <v>1635.99</v>
      </c>
      <c r="D33" s="9">
        <f>IF(D232="","",IF(样本池!$E$6="原币",D232,IF(ISNUMBER(D232),D232*1,D232)))</f>
        <v>1259.18</v>
      </c>
      <c r="E33" s="9">
        <f>IF(E232="","",IF(样本池!$E$6="原币",E232,IF(ISNUMBER(E232),E232*1,E232)))</f>
        <v>2450</v>
      </c>
      <c r="F33" s="9" t="str">
        <f>IF(F232="","",IF(样本池!$E$6="原币",F232,IF(ISNUMBER(F232),F232*1,F232)))</f>
        <v/>
      </c>
      <c r="G33" s="9">
        <f>IF(G232="","",IF(样本池!$E$6="原币",G232,IF(ISNUMBER(G232),G232*1,G232)))</f>
        <v>1667.02</v>
      </c>
    </row>
    <row r="34" spans="1:7" ht="16.5" x14ac:dyDescent="0.35">
      <c r="A34" s="8" t="s">
        <v>200</v>
      </c>
      <c r="B34" s="8" t="s">
        <v>210</v>
      </c>
      <c r="C34" s="9">
        <f>IF(C233="","",IF(样本池!$E$6="原币",C233,IF(ISNUMBER(C233),C233*1,C233)))</f>
        <v>20368.669999999998</v>
      </c>
      <c r="D34" s="9">
        <f>IF(D233="","",IF(样本池!$E$6="原币",D233,IF(ISNUMBER(D233),D233*1,D233)))</f>
        <v>99377.41</v>
      </c>
      <c r="E34" s="9">
        <f>IF(E233="","",IF(样本池!$E$6="原币",E233,IF(ISNUMBER(E233),E233*1,E233)))</f>
        <v>35870.54</v>
      </c>
      <c r="F34" s="9">
        <f>IF(F233="","",IF(样本池!$E$6="原币",F233,IF(ISNUMBER(F233),F233*1,F233)))</f>
        <v>54642.17</v>
      </c>
      <c r="G34" s="9">
        <f>IF(G233="","",IF(样本池!$E$6="原币",G233,IF(ISNUMBER(G233),G233*1,G233)))</f>
        <v>25604.54</v>
      </c>
    </row>
    <row r="35" spans="1:7" ht="16.5" x14ac:dyDescent="0.35">
      <c r="A35" s="8" t="s">
        <v>200</v>
      </c>
      <c r="B35" s="8" t="s">
        <v>211</v>
      </c>
      <c r="C35" s="9">
        <f>IF(C234="","",IF(样本池!$E$6="原币",C234,IF(ISNUMBER(C234),C234*1,C234)))</f>
        <v>246700.14</v>
      </c>
      <c r="D35" s="9">
        <f>IF(D234="","",IF(样本池!$E$6="原币",D234,IF(ISNUMBER(D234),D234*1,D234)))</f>
        <v>433734.6</v>
      </c>
      <c r="E35" s="9">
        <f>IF(E234="","",IF(样本池!$E$6="原币",E234,IF(ISNUMBER(E234),E234*1,E234)))</f>
        <v>437160.74</v>
      </c>
      <c r="F35" s="9">
        <f>IF(F234="","",IF(样本池!$E$6="原币",F234,IF(ISNUMBER(F234),F234*1,F234)))</f>
        <v>272654.96999999997</v>
      </c>
      <c r="G35" s="9">
        <f>IF(G234="","",IF(样本池!$E$6="原币",G234,IF(ISNUMBER(G234),G234*1,G234)))</f>
        <v>392744.32</v>
      </c>
    </row>
    <row r="36" spans="1:7" ht="16.5" x14ac:dyDescent="0.35">
      <c r="A36" s="8" t="s">
        <v>200</v>
      </c>
      <c r="B36" s="8" t="s">
        <v>212</v>
      </c>
      <c r="C36" s="9">
        <f>IF(C235="","",IF(样本池!$E$6="原币",C235,IF(ISNUMBER(C235),C235*1,C235)))</f>
        <v>-12947.58</v>
      </c>
      <c r="D36" s="9">
        <f>IF(D235="","",IF(样本池!$E$6="原币",D235,IF(ISNUMBER(D235),D235*1,D235)))</f>
        <v>-68818.73</v>
      </c>
      <c r="E36" s="9">
        <f>IF(E235="","",IF(样本池!$E$6="原币",E235,IF(ISNUMBER(E235),E235*1,E235)))</f>
        <v>-43816.41</v>
      </c>
      <c r="F36" s="9">
        <f>IF(F235="","",IF(样本池!$E$6="原币",F235,IF(ISNUMBER(F235),F235*1,F235)))</f>
        <v>-259222.97</v>
      </c>
      <c r="G36" s="9">
        <f>IF(G235="","",IF(样本池!$E$6="原币",G235,IF(ISNUMBER(G235),G235*1,G235)))</f>
        <v>-212997.34</v>
      </c>
    </row>
    <row r="37" spans="1:7" ht="16.5" x14ac:dyDescent="0.35">
      <c r="A37" s="8" t="s">
        <v>200</v>
      </c>
      <c r="B37" s="8" t="s">
        <v>213</v>
      </c>
      <c r="C37" s="9">
        <f>IF(C236="","",IF(样本池!$E$6="原币",C236,IF(ISNUMBER(C236),C236*1,C236)))</f>
        <v>8170.03</v>
      </c>
      <c r="D37" s="9">
        <f>IF(D236="","",IF(样本池!$E$6="原币",D236,IF(ISNUMBER(D236),D236*1,D236)))</f>
        <v>8977.74</v>
      </c>
      <c r="E37" s="9" t="str">
        <f>IF(E236="","",IF(样本池!$E$6="原币",E236,IF(ISNUMBER(E236),E236*1,E236)))</f>
        <v/>
      </c>
      <c r="F37" s="9">
        <f>IF(F236="","",IF(样本池!$E$6="原币",F236,IF(ISNUMBER(F236),F236*1,F236)))</f>
        <v>1079.8900000000001</v>
      </c>
      <c r="G37" s="9">
        <f>IF(G236="","",IF(样本池!$E$6="原币",G236,IF(ISNUMBER(G236),G236*1,G236)))</f>
        <v>5376.83</v>
      </c>
    </row>
    <row r="38" spans="1:7" ht="16.5" x14ac:dyDescent="0.35">
      <c r="A38" s="8" t="s">
        <v>200</v>
      </c>
      <c r="B38" s="8" t="s">
        <v>214</v>
      </c>
      <c r="C38" s="9">
        <f>IF(C237="","",IF(样本池!$E$6="原币",C237,IF(ISNUMBER(C237),C237*1,C237)))</f>
        <v>73903.820000000007</v>
      </c>
      <c r="D38" s="9">
        <f>IF(D237="","",IF(样本池!$E$6="原币",D237,IF(ISNUMBER(D237),D237*1,D237)))</f>
        <v>-9353.77</v>
      </c>
      <c r="E38" s="9">
        <f>IF(E237="","",IF(样本池!$E$6="原币",E237,IF(ISNUMBER(E237),E237*1,E237)))</f>
        <v>-17558.95</v>
      </c>
      <c r="F38" s="9">
        <f>IF(F237="","",IF(样本池!$E$6="原币",F237,IF(ISNUMBER(F237),F237*1,F237)))</f>
        <v>7334.01</v>
      </c>
      <c r="G38" s="9">
        <f>IF(G237="","",IF(样本池!$E$6="原币",G237,IF(ISNUMBER(G237),G237*1,G237)))</f>
        <v>-51652.91</v>
      </c>
    </row>
    <row r="39" spans="1:7" ht="16.5" x14ac:dyDescent="0.35">
      <c r="A39" s="8" t="s">
        <v>200</v>
      </c>
      <c r="B39" s="8" t="s">
        <v>215</v>
      </c>
      <c r="C39" s="9">
        <f>IF(C238="","",IF(样本池!$E$6="原币",C238,IF(ISNUMBER(C238),C238*1,C238)))</f>
        <v>232870.43</v>
      </c>
      <c r="D39" s="9">
        <f>IF(D238="","",IF(样本池!$E$6="原币",D238,IF(ISNUMBER(D238),D238*1,D238)))</f>
        <v>80503.09</v>
      </c>
      <c r="E39" s="9">
        <f>IF(E238="","",IF(样本池!$E$6="原币",E238,IF(ISNUMBER(E238),E238*1,E238)))</f>
        <v>210656.43</v>
      </c>
      <c r="F39" s="9">
        <f>IF(F238="","",IF(样本池!$E$6="原币",F238,IF(ISNUMBER(F238),F238*1,F238)))</f>
        <v>39475.800000000003</v>
      </c>
      <c r="G39" s="9">
        <f>IF(G238="","",IF(样本池!$E$6="原币",G238,IF(ISNUMBER(G238),G238*1,G238)))</f>
        <v>249288.17</v>
      </c>
    </row>
    <row r="40" spans="1:7" ht="16.5" x14ac:dyDescent="0.35">
      <c r="A40" s="8" t="s">
        <v>200</v>
      </c>
      <c r="B40" s="8" t="s">
        <v>216</v>
      </c>
      <c r="C40" s="9">
        <f>IF(C239="","",IF(样本池!$E$6="原币",C239,IF(ISNUMBER(C239),C239*1,C239)))</f>
        <v>306774.25</v>
      </c>
      <c r="D40" s="9">
        <f>IF(D239="","",IF(样本池!$E$6="原币",D239,IF(ISNUMBER(D239),D239*1,D239)))</f>
        <v>71149.320000000007</v>
      </c>
      <c r="E40" s="9">
        <f>IF(E239="","",IF(样本池!$E$6="原币",E239,IF(ISNUMBER(E239),E239*1,E239)))</f>
        <v>193097.48</v>
      </c>
      <c r="F40" s="9">
        <f>IF(F239="","",IF(样本池!$E$6="原币",F239,IF(ISNUMBER(F239),F239*1,F239)))</f>
        <v>46809.81</v>
      </c>
      <c r="G40" s="9">
        <f>IF(G239="","",IF(样本池!$E$6="原币",G239,IF(ISNUMBER(G239),G239*1,G239)))</f>
        <v>197635.26</v>
      </c>
    </row>
    <row r="41" spans="1:7" ht="16.5" x14ac:dyDescent="0.35">
      <c r="A41" s="8" t="s">
        <v>217</v>
      </c>
      <c r="B41" s="8" t="s">
        <v>218</v>
      </c>
      <c r="C41" s="9">
        <f>IF(C240="","",IF(样本池!$E$6="原币",C240,IF(ISNUMBER(C240),C240*1,C240)))</f>
        <v>261719.39</v>
      </c>
      <c r="D41" s="9">
        <f>IF(D240="","",IF(样本池!$E$6="原币",D240,IF(ISNUMBER(D240),D240*1,D240)))</f>
        <v>-2048.9699999999998</v>
      </c>
      <c r="E41" s="9">
        <f>IF(E240="","",IF(样本池!$E$6="原币",E240,IF(ISNUMBER(E240),E240*1,E240)))</f>
        <v>23788.93</v>
      </c>
      <c r="F41" s="9">
        <f>IF(F240="","",IF(样本池!$E$6="原币",F240,IF(ISNUMBER(F240),F240*1,F240)))</f>
        <v>33580.61</v>
      </c>
      <c r="G41" s="9">
        <f>IF(G240="","",IF(样本池!$E$6="原币",G240,IF(ISNUMBER(G240),G240*1,G240)))</f>
        <v>186707.95</v>
      </c>
    </row>
    <row r="42" spans="1:7" ht="16.5" x14ac:dyDescent="0.35">
      <c r="A42" s="8" t="s">
        <v>217</v>
      </c>
      <c r="B42" s="8" t="s">
        <v>219</v>
      </c>
      <c r="C42" s="9" t="str">
        <f>IF(C241="","",IF(样本池!$E$6="原币",C241,IF(ISNUMBER(C241),C241*1,C241)))</f>
        <v/>
      </c>
      <c r="D42" s="9" t="str">
        <f>IF(D241="","",IF(样本池!$E$6="原币",D241,IF(ISNUMBER(D241),D241*1,D241)))</f>
        <v/>
      </c>
      <c r="E42" s="9" t="str">
        <f>IF(E241="","",IF(样本池!$E$6="原币",E241,IF(ISNUMBER(E241),E241*1,E241)))</f>
        <v/>
      </c>
      <c r="F42" s="9" t="str">
        <f>IF(F241="","",IF(样本池!$E$6="原币",F241,IF(ISNUMBER(F241),F241*1,F241)))</f>
        <v/>
      </c>
      <c r="G42" s="9" t="str">
        <f>IF(G241="","",IF(样本池!$E$6="原币",G241,IF(ISNUMBER(G241),G241*1,G241)))</f>
        <v/>
      </c>
    </row>
    <row r="43" spans="1:7" ht="16.5" x14ac:dyDescent="0.35">
      <c r="A43" s="8" t="s">
        <v>217</v>
      </c>
      <c r="B43" s="8" t="s">
        <v>220</v>
      </c>
      <c r="C43" s="9" t="str">
        <f>IF(C242="","",IF(样本池!$E$6="原币",C242,IF(ISNUMBER(C242),C242*1,C242)))</f>
        <v/>
      </c>
      <c r="D43" s="9" t="str">
        <f>IF(D242="","",IF(样本池!$E$6="原币",D242,IF(ISNUMBER(D242),D242*1,D242)))</f>
        <v/>
      </c>
      <c r="E43" s="9" t="str">
        <f>IF(E242="","",IF(样本池!$E$6="原币",E242,IF(ISNUMBER(E242),E242*1,E242)))</f>
        <v/>
      </c>
      <c r="F43" s="9" t="str">
        <f>IF(F242="","",IF(样本池!$E$6="原币",F242,IF(ISNUMBER(F242),F242*1,F242)))</f>
        <v/>
      </c>
      <c r="G43" s="9" t="str">
        <f>IF(G242="","",IF(样本池!$E$6="原币",G242,IF(ISNUMBER(G242),G242*1,G242)))</f>
        <v/>
      </c>
    </row>
    <row r="44" spans="1:7" ht="16.5" x14ac:dyDescent="0.35">
      <c r="A44" s="8" t="s">
        <v>217</v>
      </c>
      <c r="B44" s="8" t="s">
        <v>221</v>
      </c>
      <c r="C44" s="9">
        <f>IF(C243="","",IF(样本池!$E$6="原币",C243,IF(ISNUMBER(C243),C243*1,C243)))</f>
        <v>36499.69</v>
      </c>
      <c r="D44" s="9">
        <f>IF(D243="","",IF(样本池!$E$6="原币",D243,IF(ISNUMBER(D243),D243*1,D243)))</f>
        <v>9250.09</v>
      </c>
      <c r="E44" s="9">
        <f>IF(E243="","",IF(样本池!$E$6="原币",E243,IF(ISNUMBER(E243),E243*1,E243)))</f>
        <v>5140.5200000000004</v>
      </c>
      <c r="F44" s="9">
        <f>IF(F243="","",IF(样本池!$E$6="原币",F243,IF(ISNUMBER(F243),F243*1,F243)))</f>
        <v>6574.99</v>
      </c>
      <c r="G44" s="9">
        <f>IF(G243="","",IF(样本池!$E$6="原币",G243,IF(ISNUMBER(G243),G243*1,G243)))</f>
        <v>15668.9</v>
      </c>
    </row>
    <row r="45" spans="1:7" ht="16.5" x14ac:dyDescent="0.35">
      <c r="A45" s="8" t="s">
        <v>217</v>
      </c>
      <c r="B45" s="8" t="s">
        <v>222</v>
      </c>
      <c r="C45" s="9">
        <f>IF(C244="","",IF(样本池!$E$6="原币",C244,IF(ISNUMBER(C244),C244*1,C244)))</f>
        <v>7731.91</v>
      </c>
      <c r="D45" s="9">
        <f>IF(D244="","",IF(样本池!$E$6="原币",D244,IF(ISNUMBER(D244),D244*1,D244)))</f>
        <v>53665.120000000003</v>
      </c>
      <c r="E45" s="9">
        <f>IF(E244="","",IF(样本池!$E$6="原币",E244,IF(ISNUMBER(E244),E244*1,E244)))</f>
        <v>23519.86</v>
      </c>
      <c r="F45" s="9">
        <f>IF(F244="","",IF(样本池!$E$6="原币",F244,IF(ISNUMBER(F244),F244*1,F244)))</f>
        <v>1041.5</v>
      </c>
      <c r="G45" s="9">
        <f>IF(G244="","",IF(样本池!$E$6="原币",G244,IF(ISNUMBER(G244),G244*1,G244)))</f>
        <v>46589.94</v>
      </c>
    </row>
    <row r="46" spans="1:7" ht="16.5" x14ac:dyDescent="0.35">
      <c r="A46" s="8" t="s">
        <v>217</v>
      </c>
      <c r="B46" s="8" t="s">
        <v>223</v>
      </c>
      <c r="C46" s="9">
        <f>IF(C245="","",IF(样本池!$E$6="原币",C245,IF(ISNUMBER(C245),C245*1,C245)))</f>
        <v>588.55999999999995</v>
      </c>
      <c r="D46" s="9">
        <f>IF(D245="","",IF(样本池!$E$6="原币",D245,IF(ISNUMBER(D245),D245*1,D245)))</f>
        <v>2140.16</v>
      </c>
      <c r="E46" s="9">
        <f>IF(E245="","",IF(样本池!$E$6="原币",E245,IF(ISNUMBER(E245),E245*1,E245)))</f>
        <v>1780.24</v>
      </c>
      <c r="F46" s="9">
        <f>IF(F245="","",IF(样本池!$E$6="原币",F245,IF(ISNUMBER(F245),F245*1,F245)))</f>
        <v>341.44</v>
      </c>
      <c r="G46" s="9">
        <f>IF(G245="","",IF(样本池!$E$6="原币",G245,IF(ISNUMBER(G245),G245*1,G245)))</f>
        <v>3960.62</v>
      </c>
    </row>
    <row r="47" spans="1:7" ht="16.5" x14ac:dyDescent="0.35">
      <c r="A47" s="8" t="s">
        <v>217</v>
      </c>
      <c r="B47" s="8" t="s">
        <v>224</v>
      </c>
      <c r="C47" s="9">
        <f>IF(C246="","",IF(样本池!$E$6="原币",C246,IF(ISNUMBER(C246),C246*1,C246)))</f>
        <v>2068.02</v>
      </c>
      <c r="D47" s="9">
        <f>IF(D246="","",IF(样本池!$E$6="原币",D246,IF(ISNUMBER(D246),D246*1,D246)))</f>
        <v>15054.25</v>
      </c>
      <c r="E47" s="9">
        <f>IF(E246="","",IF(样本池!$E$6="原币",E246,IF(ISNUMBER(E246),E246*1,E246)))</f>
        <v>18813.63</v>
      </c>
      <c r="F47" s="9">
        <f>IF(F246="","",IF(样本池!$E$6="原币",F246,IF(ISNUMBER(F246),F246*1,F246)))</f>
        <v>524.4</v>
      </c>
      <c r="G47" s="9">
        <f>IF(G246="","",IF(样本池!$E$6="原币",G246,IF(ISNUMBER(G246),G246*1,G246)))</f>
        <v>4954.26</v>
      </c>
    </row>
    <row r="48" spans="1:7" ht="16.5" x14ac:dyDescent="0.35">
      <c r="A48" s="8" t="s">
        <v>217</v>
      </c>
      <c r="B48" s="8" t="s">
        <v>225</v>
      </c>
      <c r="C48" s="9" t="str">
        <f>IF(C247="","",IF(样本池!$E$6="原币",C247,IF(ISNUMBER(C247),C247*1,C247)))</f>
        <v/>
      </c>
      <c r="D48" s="9" t="str">
        <f>IF(D247="","",IF(样本池!$E$6="原币",D247,IF(ISNUMBER(D247),D247*1,D247)))</f>
        <v/>
      </c>
      <c r="E48" s="9" t="str">
        <f>IF(E247="","",IF(样本池!$E$6="原币",E247,IF(ISNUMBER(E247),E247*1,E247)))</f>
        <v/>
      </c>
      <c r="F48" s="9" t="str">
        <f>IF(F247="","",IF(样本池!$E$6="原币",F247,IF(ISNUMBER(F247),F247*1,F247)))</f>
        <v/>
      </c>
      <c r="G48" s="9" t="str">
        <f>IF(G247="","",IF(样本池!$E$6="原币",G247,IF(ISNUMBER(G247),G247*1,G247)))</f>
        <v/>
      </c>
    </row>
    <row r="49" spans="1:7" ht="16.5" x14ac:dyDescent="0.35">
      <c r="A49" s="8" t="s">
        <v>217</v>
      </c>
      <c r="B49" s="8" t="s">
        <v>226</v>
      </c>
      <c r="C49" s="9" t="str">
        <f>IF(C248="","",IF(样本池!$E$6="原币",C248,IF(ISNUMBER(C248),C248*1,C248)))</f>
        <v/>
      </c>
      <c r="D49" s="9" t="str">
        <f>IF(D248="","",IF(样本池!$E$6="原币",D248,IF(ISNUMBER(D248),D248*1,D248)))</f>
        <v/>
      </c>
      <c r="E49" s="9" t="str">
        <f>IF(E248="","",IF(样本池!$E$6="原币",E248,IF(ISNUMBER(E248),E248*1,E248)))</f>
        <v/>
      </c>
      <c r="F49" s="9" t="str">
        <f>IF(F248="","",IF(样本池!$E$6="原币",F248,IF(ISNUMBER(F248),F248*1,F248)))</f>
        <v/>
      </c>
      <c r="G49" s="9" t="str">
        <f>IF(G248="","",IF(样本池!$E$6="原币",G248,IF(ISNUMBER(G248),G248*1,G248)))</f>
        <v/>
      </c>
    </row>
    <row r="50" spans="1:7" ht="16.5" x14ac:dyDescent="0.35">
      <c r="A50" s="8" t="s">
        <v>217</v>
      </c>
      <c r="B50" s="8" t="s">
        <v>227</v>
      </c>
      <c r="C50" s="9">
        <f>IF(C249="","",IF(样本池!$E$6="原币",C249,IF(ISNUMBER(C249),C249*1,C249)))</f>
        <v>-53.08</v>
      </c>
      <c r="D50" s="9">
        <f>IF(D249="","",IF(样本池!$E$6="原币",D249,IF(ISNUMBER(D249),D249*1,D249)))</f>
        <v>51.49</v>
      </c>
      <c r="E50" s="9">
        <f>IF(E249="","",IF(样本池!$E$6="原币",E249,IF(ISNUMBER(E249),E249*1,E249)))</f>
        <v>0.75</v>
      </c>
      <c r="F50" s="9">
        <f>IF(F249="","",IF(样本池!$E$6="原币",F249,IF(ISNUMBER(F249),F249*1,F249)))</f>
        <v>-3226.8</v>
      </c>
      <c r="G50" s="9">
        <f>IF(G249="","",IF(样本池!$E$6="原币",G249,IF(ISNUMBER(G249),G249*1,G249)))</f>
        <v>371.19</v>
      </c>
    </row>
    <row r="51" spans="1:7" ht="16.5" x14ac:dyDescent="0.35">
      <c r="A51" s="8" t="s">
        <v>217</v>
      </c>
      <c r="B51" s="8" t="s">
        <v>228</v>
      </c>
      <c r="C51" s="9">
        <f>IF(C250="","",IF(样本池!$E$6="原币",C250,IF(ISNUMBER(C250),C250*1,C250)))</f>
        <v>107.33</v>
      </c>
      <c r="D51" s="9">
        <f>IF(D250="","",IF(样本池!$E$6="原币",D250,IF(ISNUMBER(D250),D250*1,D250)))</f>
        <v>87.18</v>
      </c>
      <c r="E51" s="9">
        <f>IF(E250="","",IF(样本池!$E$6="原币",E250,IF(ISNUMBER(E250),E250*1,E250)))</f>
        <v>204.22</v>
      </c>
      <c r="F51" s="9">
        <f>IF(F250="","",IF(样本池!$E$6="原币",F250,IF(ISNUMBER(F250),F250*1,F250)))</f>
        <v>146.05000000000001</v>
      </c>
      <c r="G51" s="9">
        <f>IF(G250="","",IF(样本池!$E$6="原币",G250,IF(ISNUMBER(G250),G250*1,G250)))</f>
        <v>250.02</v>
      </c>
    </row>
    <row r="52" spans="1:7" ht="16.5" x14ac:dyDescent="0.35">
      <c r="A52" s="8" t="s">
        <v>217</v>
      </c>
      <c r="B52" s="8" t="s">
        <v>229</v>
      </c>
      <c r="C52" s="9">
        <f>IF(C251="","",IF(样本池!$E$6="原币",C251,IF(ISNUMBER(C251),C251*1,C251)))</f>
        <v>-13959.67</v>
      </c>
      <c r="D52" s="9">
        <f>IF(D251="","",IF(样本池!$E$6="原币",D251,IF(ISNUMBER(D251),D251*1,D251)))</f>
        <v>-1288.72</v>
      </c>
      <c r="E52" s="9">
        <f>IF(E251="","",IF(样本池!$E$6="原币",E251,IF(ISNUMBER(E251),E251*1,E251)))</f>
        <v>1015.75</v>
      </c>
      <c r="F52" s="9">
        <f>IF(F251="","",IF(样本池!$E$6="原币",F251,IF(ISNUMBER(F251),F251*1,F251)))</f>
        <v>1626.99</v>
      </c>
      <c r="G52" s="9">
        <f>IF(G251="","",IF(样本池!$E$6="原币",G251,IF(ISNUMBER(G251),G251*1,G251)))</f>
        <v>-271.01</v>
      </c>
    </row>
    <row r="53" spans="1:7" ht="16.5" x14ac:dyDescent="0.35">
      <c r="A53" s="8" t="s">
        <v>217</v>
      </c>
      <c r="B53" s="8" t="s">
        <v>230</v>
      </c>
      <c r="C53" s="9" t="str">
        <f>IF(C252="","",IF(样本池!$E$6="原币",C252,IF(ISNUMBER(C252),C252*1,C252)))</f>
        <v/>
      </c>
      <c r="D53" s="9" t="str">
        <f>IF(D252="","",IF(样本池!$E$6="原币",D252,IF(ISNUMBER(D252),D252*1,D252)))</f>
        <v/>
      </c>
      <c r="E53" s="9" t="str">
        <f>IF(E252="","",IF(样本池!$E$6="原币",E252,IF(ISNUMBER(E252),E252*1,E252)))</f>
        <v/>
      </c>
      <c r="F53" s="9" t="str">
        <f>IF(F252="","",IF(样本池!$E$6="原币",F252,IF(ISNUMBER(F252),F252*1,F252)))</f>
        <v/>
      </c>
      <c r="G53" s="9" t="str">
        <f>IF(G252="","",IF(样本池!$E$6="原币",G252,IF(ISNUMBER(G252),G252*1,G252)))</f>
        <v/>
      </c>
    </row>
    <row r="54" spans="1:7" ht="16.5" x14ac:dyDescent="0.35">
      <c r="A54" s="8" t="s">
        <v>217</v>
      </c>
      <c r="B54" s="8" t="s">
        <v>231</v>
      </c>
      <c r="C54" s="9" t="str">
        <f>IF(C253="","",IF(样本池!$E$6="原币",C253,IF(ISNUMBER(C253),C253*1,C253)))</f>
        <v/>
      </c>
      <c r="D54" s="9" t="str">
        <f>IF(D253="","",IF(样本池!$E$6="原币",D253,IF(ISNUMBER(D253),D253*1,D253)))</f>
        <v/>
      </c>
      <c r="E54" s="9" t="str">
        <f>IF(E253="","",IF(样本池!$E$6="原币",E253,IF(ISNUMBER(E253),E253*1,E253)))</f>
        <v/>
      </c>
      <c r="F54" s="9" t="str">
        <f>IF(F253="","",IF(样本池!$E$6="原币",F253,IF(ISNUMBER(F253),F253*1,F253)))</f>
        <v/>
      </c>
      <c r="G54" s="9" t="str">
        <f>IF(G253="","",IF(样本池!$E$6="原币",G253,IF(ISNUMBER(G253),G253*1,G253)))</f>
        <v/>
      </c>
    </row>
    <row r="55" spans="1:7" ht="16.5" x14ac:dyDescent="0.35">
      <c r="A55" s="8" t="s">
        <v>217</v>
      </c>
      <c r="B55" s="8" t="s">
        <v>153</v>
      </c>
      <c r="C55" s="9">
        <f>IF(C254="","",IF(样本池!$E$6="原币",C254,IF(ISNUMBER(C254),C254*1,C254)))</f>
        <v>5205.1099999999997</v>
      </c>
      <c r="D55" s="9">
        <f>IF(D254="","",IF(样本池!$E$6="原币",D254,IF(ISNUMBER(D254),D254*1,D254)))</f>
        <v>11941.34</v>
      </c>
      <c r="E55" s="9">
        <f>IF(E254="","",IF(样本池!$E$6="原币",E254,IF(ISNUMBER(E254),E254*1,E254)))</f>
        <v>8311.43</v>
      </c>
      <c r="F55" s="9">
        <f>IF(F254="","",IF(样本池!$E$6="原币",F254,IF(ISNUMBER(F254),F254*1,F254)))</f>
        <v>5449.23</v>
      </c>
      <c r="G55" s="9">
        <f>IF(G254="","",IF(样本池!$E$6="原币",G254,IF(ISNUMBER(G254),G254*1,G254)))</f>
        <v>4828.7299999999996</v>
      </c>
    </row>
    <row r="56" spans="1:7" ht="16.5" x14ac:dyDescent="0.35">
      <c r="A56" s="8" t="s">
        <v>217</v>
      </c>
      <c r="B56" s="8" t="s">
        <v>232</v>
      </c>
      <c r="C56" s="9">
        <f>IF(C255="","",IF(样本池!$E$6="原币",C255,IF(ISNUMBER(C255),C255*1,C255)))</f>
        <v>-27571.74</v>
      </c>
      <c r="D56" s="9">
        <f>IF(D255="","",IF(样本池!$E$6="原币",D255,IF(ISNUMBER(D255),D255*1,D255)))</f>
        <v>519.38</v>
      </c>
      <c r="E56" s="9">
        <f>IF(E255="","",IF(样本池!$E$6="原币",E255,IF(ISNUMBER(E255),E255*1,E255)))</f>
        <v>450.63</v>
      </c>
      <c r="F56" s="9">
        <f>IF(F255="","",IF(样本池!$E$6="原币",F255,IF(ISNUMBER(F255),F255*1,F255)))</f>
        <v>-5652.98</v>
      </c>
      <c r="G56" s="9">
        <f>IF(G255="","",IF(样本池!$E$6="原币",G255,IF(ISNUMBER(G255),G255*1,G255)))</f>
        <v>-4022.77</v>
      </c>
    </row>
    <row r="57" spans="1:7" ht="16.5" x14ac:dyDescent="0.35">
      <c r="A57" s="8" t="s">
        <v>217</v>
      </c>
      <c r="B57" s="8" t="s">
        <v>233</v>
      </c>
      <c r="C57" s="9">
        <f>IF(C256="","",IF(样本池!$E$6="原币",C256,IF(ISNUMBER(C256),C256*1,C256)))</f>
        <v>10375.06</v>
      </c>
      <c r="D57" s="9">
        <f>IF(D256="","",IF(样本池!$E$6="原币",D256,IF(ISNUMBER(D256),D256*1,D256)))</f>
        <v>-1592.26</v>
      </c>
      <c r="E57" s="9">
        <f>IF(E256="","",IF(样本池!$E$6="原币",E256,IF(ISNUMBER(E256),E256*1,E256)))</f>
        <v>-1196.97</v>
      </c>
      <c r="F57" s="9">
        <f>IF(F256="","",IF(样本池!$E$6="原币",F256,IF(ISNUMBER(F256),F256*1,F256)))</f>
        <v>-487.61</v>
      </c>
      <c r="G57" s="9">
        <f>IF(G256="","",IF(样本池!$E$6="原币",G256,IF(ISNUMBER(G256),G256*1,G256)))</f>
        <v>-10434.73</v>
      </c>
    </row>
    <row r="58" spans="1:7" ht="16.5" x14ac:dyDescent="0.35">
      <c r="A58" s="8" t="s">
        <v>217</v>
      </c>
      <c r="B58" s="8" t="s">
        <v>234</v>
      </c>
      <c r="C58" s="9">
        <f>IF(C257="","",IF(样本池!$E$6="原币",C257,IF(ISNUMBER(C257),C257*1,C257)))</f>
        <v>-13023.14</v>
      </c>
      <c r="D58" s="9">
        <f>IF(D257="","",IF(样本池!$E$6="原币",D257,IF(ISNUMBER(D257),D257*1,D257)))</f>
        <v>-16.920000000000002</v>
      </c>
      <c r="E58" s="9">
        <f>IF(E257="","",IF(样本池!$E$6="原币",E257,IF(ISNUMBER(E257),E257*1,E257)))</f>
        <v>-1140.3599999999999</v>
      </c>
      <c r="F58" s="9" t="str">
        <f>IF(F257="","",IF(样本池!$E$6="原币",F257,IF(ISNUMBER(F257),F257*1,F257)))</f>
        <v/>
      </c>
      <c r="G58" s="9">
        <f>IF(G257="","",IF(样本池!$E$6="原币",G257,IF(ISNUMBER(G257),G257*1,G257)))</f>
        <v>-4511.82</v>
      </c>
    </row>
    <row r="59" spans="1:7" ht="16.5" x14ac:dyDescent="0.35">
      <c r="A59" s="8" t="s">
        <v>217</v>
      </c>
      <c r="B59" s="8" t="s">
        <v>235</v>
      </c>
      <c r="C59" s="9">
        <f>IF(C258="","",IF(样本池!$E$6="原币",C258,IF(ISNUMBER(C258),C258*1,C258)))</f>
        <v>-200446.14</v>
      </c>
      <c r="D59" s="9">
        <f>IF(D258="","",IF(样本池!$E$6="原币",D258,IF(ISNUMBER(D258),D258*1,D258)))</f>
        <v>-19130.400000000001</v>
      </c>
      <c r="E59" s="9">
        <f>IF(E258="","",IF(样本池!$E$6="原币",E258,IF(ISNUMBER(E258),E258*1,E258)))</f>
        <v>-249.66</v>
      </c>
      <c r="F59" s="9">
        <f>IF(F258="","",IF(样本池!$E$6="原币",F258,IF(ISNUMBER(F258),F258*1,F258)))</f>
        <v>444.16</v>
      </c>
      <c r="G59" s="9">
        <f>IF(G258="","",IF(样本池!$E$6="原币",G258,IF(ISNUMBER(G258),G258*1,G258)))</f>
        <v>-1351.51</v>
      </c>
    </row>
    <row r="60" spans="1:7" ht="16.5" x14ac:dyDescent="0.35">
      <c r="A60" s="8" t="s">
        <v>217</v>
      </c>
      <c r="B60" s="8" t="s">
        <v>236</v>
      </c>
      <c r="C60" s="9">
        <f>IF(C259="","",IF(样本池!$E$6="原币",C259,IF(ISNUMBER(C259),C259*1,C259)))</f>
        <v>-66060.990000000005</v>
      </c>
      <c r="D60" s="9">
        <f>IF(D259="","",IF(样本池!$E$6="原币",D259,IF(ISNUMBER(D259),D259*1,D259)))</f>
        <v>396.64</v>
      </c>
      <c r="E60" s="9">
        <f>IF(E259="","",IF(样本池!$E$6="原币",E259,IF(ISNUMBER(E259),E259*1,E259)))</f>
        <v>3005.26</v>
      </c>
      <c r="F60" s="9">
        <f>IF(F259="","",IF(样本池!$E$6="原币",F259,IF(ISNUMBER(F259),F259*1,F259)))</f>
        <v>-46675.82</v>
      </c>
      <c r="G60" s="9">
        <f>IF(G259="","",IF(样本池!$E$6="原币",G259,IF(ISNUMBER(G259),G259*1,G259)))</f>
        <v>-117871.83</v>
      </c>
    </row>
    <row r="61" spans="1:7" ht="16.5" x14ac:dyDescent="0.35">
      <c r="A61" s="8" t="s">
        <v>217</v>
      </c>
      <c r="B61" s="8" t="s">
        <v>237</v>
      </c>
      <c r="C61" s="9">
        <f>IF(C260="","",IF(样本池!$E$6="原币",C260,IF(ISNUMBER(C260),C260*1,C260)))</f>
        <v>21187.07</v>
      </c>
      <c r="D61" s="9">
        <f>IF(D260="","",IF(样本池!$E$6="原币",D260,IF(ISNUMBER(D260),D260*1,D260)))</f>
        <v>13750.83</v>
      </c>
      <c r="E61" s="9">
        <f>IF(E260="","",IF(样本池!$E$6="原币",E260,IF(ISNUMBER(E260),E260*1,E260)))</f>
        <v>-847.21</v>
      </c>
      <c r="F61" s="9">
        <f>IF(F260="","",IF(样本池!$E$6="原币",F260,IF(ISNUMBER(F260),F260*1,F260)))</f>
        <v>233597.44</v>
      </c>
      <c r="G61" s="9">
        <f>IF(G260="","",IF(样本池!$E$6="原币",G260,IF(ISNUMBER(G260),G260*1,G260)))</f>
        <v>131355.25</v>
      </c>
    </row>
    <row r="62" spans="1:7" ht="16.5" x14ac:dyDescent="0.35">
      <c r="A62" s="8" t="s">
        <v>217</v>
      </c>
      <c r="B62" s="8" t="s">
        <v>238</v>
      </c>
      <c r="C62" s="9" t="str">
        <f>IF(C261="","",IF(样本池!$E$6="原币",C261,IF(ISNUMBER(C261),C261*1,C261)))</f>
        <v/>
      </c>
      <c r="D62" s="9" t="str">
        <f>IF(D261="","",IF(样本池!$E$6="原币",D261,IF(ISNUMBER(D261),D261*1,D261)))</f>
        <v/>
      </c>
      <c r="E62" s="9" t="str">
        <f>IF(E261="","",IF(样本池!$E$6="原币",E261,IF(ISNUMBER(E261),E261*1,E261)))</f>
        <v/>
      </c>
      <c r="F62" s="9" t="str">
        <f>IF(F261="","",IF(样本池!$E$6="原币",F261,IF(ISNUMBER(F261),F261*1,F261)))</f>
        <v/>
      </c>
      <c r="G62" s="9" t="str">
        <f>IF(G261="","",IF(样本池!$E$6="原币",G261,IF(ISNUMBER(G261),G261*1,G261)))</f>
        <v/>
      </c>
    </row>
    <row r="63" spans="1:7" ht="16.5" x14ac:dyDescent="0.35">
      <c r="A63" s="8" t="s">
        <v>217</v>
      </c>
      <c r="B63" s="8" t="s">
        <v>239</v>
      </c>
      <c r="C63" s="9" t="str">
        <f>IF(C262="","",IF(样本池!$E$6="原币",C262,IF(ISNUMBER(C262),C262*1,C262)))</f>
        <v/>
      </c>
      <c r="D63" s="9" t="str">
        <f>IF(D262="","",IF(样本池!$E$6="原币",D262,IF(ISNUMBER(D262),D262*1,D262)))</f>
        <v/>
      </c>
      <c r="E63" s="9" t="str">
        <f>IF(E262="","",IF(样本池!$E$6="原币",E262,IF(ISNUMBER(E262),E262*1,E262)))</f>
        <v/>
      </c>
      <c r="F63" s="9" t="str">
        <f>IF(F262="","",IF(样本池!$E$6="原币",F262,IF(ISNUMBER(F262),F262*1,F262)))</f>
        <v/>
      </c>
      <c r="G63" s="9" t="str">
        <f>IF(G262="","",IF(样本池!$E$6="原币",G262,IF(ISNUMBER(G262),G262*1,G262)))</f>
        <v/>
      </c>
    </row>
    <row r="64" spans="1:7" ht="16.5" x14ac:dyDescent="0.35">
      <c r="A64" s="8" t="s">
        <v>217</v>
      </c>
      <c r="B64" s="8" t="s">
        <v>240</v>
      </c>
      <c r="C64" s="9" t="str">
        <f>IF(C263="","",IF(样本池!$E$6="原币",C263,IF(ISNUMBER(C263),C263*1,C263)))</f>
        <v/>
      </c>
      <c r="D64" s="9">
        <f>IF(D263="","",IF(样本池!$E$6="原币",D263,IF(ISNUMBER(D263),D263*1,D263)))</f>
        <v>-48.8</v>
      </c>
      <c r="E64" s="9" t="str">
        <f>IF(E263="","",IF(样本池!$E$6="原币",E263,IF(ISNUMBER(E263),E263*1,E263)))</f>
        <v/>
      </c>
      <c r="F64" s="9" t="str">
        <f>IF(F263="","",IF(样本池!$E$6="原币",F263,IF(ISNUMBER(F263),F263*1,F263)))</f>
        <v/>
      </c>
      <c r="G64" s="9">
        <f>IF(G263="","",IF(样本池!$E$6="原币",G263,IF(ISNUMBER(G263),G263*1,G263)))</f>
        <v>6789.5</v>
      </c>
    </row>
    <row r="65" spans="1:7" ht="16.5" x14ac:dyDescent="0.35">
      <c r="A65" s="8" t="s">
        <v>217</v>
      </c>
      <c r="B65" s="8" t="s">
        <v>241</v>
      </c>
      <c r="C65" s="9">
        <f>IF(C264="","",IF(样本池!$E$6="原币",C264,IF(ISNUMBER(C264),C264*1,C264)))</f>
        <v>48080.66</v>
      </c>
      <c r="D65" s="9">
        <f>IF(D264="","",IF(样本池!$E$6="原币",D264,IF(ISNUMBER(D264),D264*1,D264)))</f>
        <v>88307.33</v>
      </c>
      <c r="E65" s="9">
        <f>IF(E264="","",IF(样本池!$E$6="原币",E264,IF(ISNUMBER(E264),E264*1,E264)))</f>
        <v>84092.34</v>
      </c>
      <c r="F65" s="9">
        <f>IF(F264="","",IF(样本池!$E$6="原币",F264,IF(ISNUMBER(F264),F264*1,F264)))</f>
        <v>247047.7</v>
      </c>
      <c r="G65" s="9">
        <f>IF(G264="","",IF(样本池!$E$6="原币",G264,IF(ISNUMBER(G264),G264*1,G264)))</f>
        <v>277421.62</v>
      </c>
    </row>
    <row r="66" spans="1:7" ht="16.5" x14ac:dyDescent="0.35">
      <c r="A66" s="8" t="s">
        <v>217</v>
      </c>
      <c r="B66" s="8" t="s">
        <v>242</v>
      </c>
      <c r="C66" s="9" t="str">
        <f>IF(C265="","",IF(样本池!$E$6="原币",C265,IF(ISNUMBER(C265),C265*1,C265)))</f>
        <v/>
      </c>
      <c r="D66" s="9" t="str">
        <f>IF(D265="","",IF(样本池!$E$6="原币",D265,IF(ISNUMBER(D265),D265*1,D265)))</f>
        <v/>
      </c>
      <c r="E66" s="9" t="str">
        <f>IF(E265="","",IF(样本池!$E$6="原币",E265,IF(ISNUMBER(E265),E265*1,E265)))</f>
        <v/>
      </c>
      <c r="F66" s="9" t="str">
        <f>IF(F265="","",IF(样本池!$E$6="原币",F265,IF(ISNUMBER(F265),F265*1,F265)))</f>
        <v/>
      </c>
      <c r="G66" s="9" t="str">
        <f>IF(G265="","",IF(样本池!$E$6="原币",G265,IF(ISNUMBER(G265),G265*1,G265)))</f>
        <v/>
      </c>
    </row>
    <row r="67" spans="1:7" ht="16.5" x14ac:dyDescent="0.35">
      <c r="A67" s="8" t="s">
        <v>217</v>
      </c>
      <c r="B67" s="8" t="s">
        <v>243</v>
      </c>
      <c r="C67" s="9" t="str">
        <f>IF(C266="","",IF(样本池!$E$6="原币",C266,IF(ISNUMBER(C266),C266*1,C266)))</f>
        <v/>
      </c>
      <c r="D67" s="9" t="str">
        <f>IF(D266="","",IF(样本池!$E$6="原币",D266,IF(ISNUMBER(D266),D266*1,D266)))</f>
        <v/>
      </c>
      <c r="E67" s="9" t="str">
        <f>IF(E266="","",IF(样本池!$E$6="原币",E266,IF(ISNUMBER(E266),E266*1,E266)))</f>
        <v/>
      </c>
      <c r="F67" s="9" t="str">
        <f>IF(F266="","",IF(样本池!$E$6="原币",F266,IF(ISNUMBER(F266),F266*1,F266)))</f>
        <v/>
      </c>
      <c r="G67" s="9" t="str">
        <f>IF(G266="","",IF(样本池!$E$6="原币",G266,IF(ISNUMBER(G266),G266*1,G266)))</f>
        <v/>
      </c>
    </row>
    <row r="68" spans="1:7" ht="16.5" x14ac:dyDescent="0.35">
      <c r="A68" s="8" t="s">
        <v>217</v>
      </c>
      <c r="B68" s="8" t="s">
        <v>244</v>
      </c>
      <c r="C68" s="9" t="str">
        <f>IF(C267="","",IF(样本池!$E$6="原币",C267,IF(ISNUMBER(C267),C267*1,C267)))</f>
        <v/>
      </c>
      <c r="D68" s="9" t="str">
        <f>IF(D267="","",IF(样本池!$E$6="原币",D267,IF(ISNUMBER(D267),D267*1,D267)))</f>
        <v/>
      </c>
      <c r="E68" s="9" t="str">
        <f>IF(E267="","",IF(样本池!$E$6="原币",E267,IF(ISNUMBER(E267),E267*1,E267)))</f>
        <v/>
      </c>
      <c r="F68" s="9" t="str">
        <f>IF(F267="","",IF(样本池!$E$6="原币",F267,IF(ISNUMBER(F267),F267*1,F267)))</f>
        <v/>
      </c>
      <c r="G68" s="9" t="str">
        <f>IF(G267="","",IF(样本池!$E$6="原币",G267,IF(ISNUMBER(G267),G267*1,G267)))</f>
        <v/>
      </c>
    </row>
    <row r="69" spans="1:7" ht="16.5" x14ac:dyDescent="0.35">
      <c r="A69" s="8" t="s">
        <v>217</v>
      </c>
      <c r="B69" s="8" t="s">
        <v>245</v>
      </c>
      <c r="C69" s="9">
        <f>IF(C268="","",IF(样本池!$E$6="原币",C268,IF(ISNUMBER(C268),C268*1,C268)))</f>
        <v>306774.25</v>
      </c>
      <c r="D69" s="9">
        <f>IF(D268="","",IF(样本池!$E$6="原币",D268,IF(ISNUMBER(D268),D268*1,D268)))</f>
        <v>71149.320000000007</v>
      </c>
      <c r="E69" s="9">
        <f>IF(E268="","",IF(样本池!$E$6="原币",E268,IF(ISNUMBER(E268),E268*1,E268)))</f>
        <v>193097.48</v>
      </c>
      <c r="F69" s="9">
        <f>IF(F268="","",IF(样本池!$E$6="原币",F268,IF(ISNUMBER(F268),F268*1,F268)))</f>
        <v>46809.81</v>
      </c>
      <c r="G69" s="9">
        <f>IF(G268="","",IF(样本池!$E$6="原币",G268,IF(ISNUMBER(G268),G268*1,G268)))</f>
        <v>197635.26</v>
      </c>
    </row>
    <row r="70" spans="1:7" ht="16.5" x14ac:dyDescent="0.35">
      <c r="A70" s="8" t="s">
        <v>217</v>
      </c>
      <c r="B70" s="8" t="s">
        <v>246</v>
      </c>
      <c r="C70" s="9">
        <f>IF(C269="","",IF(样本池!$E$6="原币",C269,IF(ISNUMBER(C269),C269*1,C269)))</f>
        <v>232870.43</v>
      </c>
      <c r="D70" s="9">
        <f>IF(D269="","",IF(样本池!$E$6="原币",D269,IF(ISNUMBER(D269),D269*1,D269)))</f>
        <v>80503.09</v>
      </c>
      <c r="E70" s="9">
        <f>IF(E269="","",IF(样本池!$E$6="原币",E269,IF(ISNUMBER(E269),E269*1,E269)))</f>
        <v>210656.43</v>
      </c>
      <c r="F70" s="9">
        <f>IF(F269="","",IF(样本池!$E$6="原币",F269,IF(ISNUMBER(F269),F269*1,F269)))</f>
        <v>39475.800000000003</v>
      </c>
      <c r="G70" s="9">
        <f>IF(G269="","",IF(样本池!$E$6="原币",G269,IF(ISNUMBER(G269),G269*1,G269)))</f>
        <v>249288.17</v>
      </c>
    </row>
    <row r="71" spans="1:7" ht="16.5" x14ac:dyDescent="0.35">
      <c r="A71" s="8" t="s">
        <v>217</v>
      </c>
      <c r="B71" s="8" t="s">
        <v>247</v>
      </c>
      <c r="C71" s="9" t="str">
        <f>IF(C270="","",IF(样本池!$E$6="原币",C270,IF(ISNUMBER(C270),C270*1,C270)))</f>
        <v/>
      </c>
      <c r="D71" s="9" t="str">
        <f>IF(D270="","",IF(样本池!$E$6="原币",D270,IF(ISNUMBER(D270),D270*1,D270)))</f>
        <v/>
      </c>
      <c r="E71" s="9" t="str">
        <f>IF(E270="","",IF(样本池!$E$6="原币",E270,IF(ISNUMBER(E270),E270*1,E270)))</f>
        <v/>
      </c>
      <c r="F71" s="9" t="str">
        <f>IF(F270="","",IF(样本池!$E$6="原币",F270,IF(ISNUMBER(F270),F270*1,F270)))</f>
        <v/>
      </c>
      <c r="G71" s="9" t="str">
        <f>IF(G270="","",IF(样本池!$E$6="原币",G270,IF(ISNUMBER(G270),G270*1,G270)))</f>
        <v/>
      </c>
    </row>
    <row r="72" spans="1:7" ht="16.5" x14ac:dyDescent="0.35">
      <c r="A72" s="8" t="s">
        <v>217</v>
      </c>
      <c r="B72" s="8" t="s">
        <v>248</v>
      </c>
      <c r="C72" s="9" t="str">
        <f>IF(C271="","",IF(样本池!$E$6="原币",C271,IF(ISNUMBER(C271),C271*1,C271)))</f>
        <v/>
      </c>
      <c r="D72" s="9" t="str">
        <f>IF(D271="","",IF(样本池!$E$6="原币",D271,IF(ISNUMBER(D271),D271*1,D271)))</f>
        <v/>
      </c>
      <c r="E72" s="9" t="str">
        <f>IF(E271="","",IF(样本池!$E$6="原币",E271,IF(ISNUMBER(E271),E271*1,E271)))</f>
        <v/>
      </c>
      <c r="F72" s="9" t="str">
        <f>IF(F271="","",IF(样本池!$E$6="原币",F271,IF(ISNUMBER(F271),F271*1,F271)))</f>
        <v/>
      </c>
      <c r="G72" s="9" t="str">
        <f>IF(G271="","",IF(样本池!$E$6="原币",G271,IF(ISNUMBER(G271),G271*1,G271)))</f>
        <v/>
      </c>
    </row>
    <row r="73" spans="1:7" ht="16.5" x14ac:dyDescent="0.35">
      <c r="A73" s="8" t="s">
        <v>217</v>
      </c>
      <c r="B73" s="8" t="s">
        <v>249</v>
      </c>
      <c r="C73" s="9">
        <f>IF(C272="","",IF(样本池!$E$6="原币",C272,IF(ISNUMBER(C272),C272*1,C272)))</f>
        <v>73903.820000000007</v>
      </c>
      <c r="D73" s="9">
        <f>IF(D272="","",IF(样本池!$E$6="原币",D272,IF(ISNUMBER(D272),D272*1,D272)))</f>
        <v>-9353.77</v>
      </c>
      <c r="E73" s="9">
        <f>IF(E272="","",IF(样本池!$E$6="原币",E272,IF(ISNUMBER(E272),E272*1,E272)))</f>
        <v>-17558.95</v>
      </c>
      <c r="F73" s="9">
        <f>IF(F272="","",IF(样本池!$E$6="原币",F272,IF(ISNUMBER(F272),F272*1,F272)))</f>
        <v>7334.01</v>
      </c>
      <c r="G73" s="9">
        <f>IF(G272="","",IF(样本池!$E$6="原币",G272,IF(ISNUMBER(G272),G272*1,G272)))</f>
        <v>-51652.91</v>
      </c>
    </row>
    <row r="200" spans="3:7" ht="13.5" hidden="1" customHeight="1" x14ac:dyDescent="0.15"/>
    <row r="201" spans="3:7" ht="13.5" hidden="1" customHeight="1" x14ac:dyDescent="0.15"/>
    <row r="202" spans="3:7" ht="13.5" hidden="1" customHeight="1" x14ac:dyDescent="0.15">
      <c r="C202">
        <v>2697633.93</v>
      </c>
      <c r="D202">
        <v>955820.41</v>
      </c>
      <c r="E202">
        <v>954208.97</v>
      </c>
      <c r="F202">
        <v>732169.42</v>
      </c>
      <c r="G202">
        <v>2067178.82</v>
      </c>
    </row>
    <row r="203" spans="3:7" ht="13.5" hidden="1" customHeight="1" x14ac:dyDescent="0.15">
      <c r="C203">
        <v>136799.79999999999</v>
      </c>
      <c r="D203">
        <v>11768.88</v>
      </c>
      <c r="E203">
        <v>13005.19</v>
      </c>
      <c r="F203">
        <v>33147.629999999997</v>
      </c>
      <c r="G203">
        <v>45071.5</v>
      </c>
    </row>
    <row r="204" spans="3:7" ht="13.5" hidden="1" customHeight="1" x14ac:dyDescent="0.15">
      <c r="C204">
        <v>12283.63</v>
      </c>
      <c r="D204">
        <v>6860.25</v>
      </c>
      <c r="E204">
        <v>32861.629999999997</v>
      </c>
      <c r="F204">
        <v>6796.96</v>
      </c>
      <c r="G204">
        <v>81601.45</v>
      </c>
    </row>
    <row r="205" spans="3:7" ht="13.5" hidden="1" customHeight="1" x14ac:dyDescent="0.15">
      <c r="C205">
        <v>2846717.37</v>
      </c>
      <c r="D205">
        <v>974449.54</v>
      </c>
      <c r="E205">
        <v>1000075.79</v>
      </c>
      <c r="F205">
        <v>772114.01</v>
      </c>
      <c r="G205">
        <v>2193851.77</v>
      </c>
    </row>
    <row r="206" spans="3:7" ht="13.5" hidden="1" customHeight="1" x14ac:dyDescent="0.15">
      <c r="C206">
        <v>1841862.14</v>
      </c>
      <c r="D206">
        <v>527676.66</v>
      </c>
      <c r="E206">
        <v>517450.93</v>
      </c>
      <c r="F206">
        <v>351312.9</v>
      </c>
      <c r="G206">
        <v>1074373.79</v>
      </c>
    </row>
    <row r="207" spans="3:7" ht="13.5" hidden="1" customHeight="1" x14ac:dyDescent="0.15">
      <c r="C207">
        <v>375742.93</v>
      </c>
      <c r="D207">
        <v>149649.95000000001</v>
      </c>
      <c r="E207">
        <v>145817.88</v>
      </c>
      <c r="F207">
        <v>48025.22</v>
      </c>
      <c r="G207">
        <v>366204.92</v>
      </c>
    </row>
    <row r="208" spans="3:7" ht="13.5" hidden="1" customHeight="1" x14ac:dyDescent="0.15">
      <c r="C208">
        <v>177776.33</v>
      </c>
      <c r="D208">
        <v>24898.23</v>
      </c>
      <c r="E208">
        <v>64833.52</v>
      </c>
      <c r="F208">
        <v>85162.69</v>
      </c>
      <c r="G208">
        <v>123683.88</v>
      </c>
    </row>
    <row r="209" spans="3:7" ht="13.5" hidden="1" customHeight="1" x14ac:dyDescent="0.15">
      <c r="C209">
        <v>403255.31</v>
      </c>
      <c r="D209">
        <v>183917.37</v>
      </c>
      <c r="E209">
        <v>187881.13</v>
      </c>
      <c r="F209">
        <v>40565.5</v>
      </c>
      <c r="G209">
        <v>352167.56</v>
      </c>
    </row>
    <row r="210" spans="3:7" ht="13.5" hidden="1" customHeight="1" x14ac:dyDescent="0.15">
      <c r="C210">
        <v>2798636.7</v>
      </c>
      <c r="D210">
        <v>886142.21</v>
      </c>
      <c r="E210">
        <v>915983.46</v>
      </c>
      <c r="F210">
        <v>525066.31000000006</v>
      </c>
      <c r="G210">
        <v>1916430.15</v>
      </c>
    </row>
    <row r="211" spans="3:7" ht="13.5" hidden="1" customHeight="1" x14ac:dyDescent="0.15">
      <c r="C211">
        <v>48080.66</v>
      </c>
      <c r="D211">
        <v>88307.33</v>
      </c>
      <c r="E211">
        <v>84092.34</v>
      </c>
      <c r="F211">
        <v>247047.7</v>
      </c>
      <c r="G211">
        <v>277421.62</v>
      </c>
    </row>
    <row r="212" spans="3:7" ht="13.5" hidden="1" customHeight="1" x14ac:dyDescent="0.15">
      <c r="C212">
        <v>9963.4500000000007</v>
      </c>
      <c r="D212">
        <v>10025.030000000001</v>
      </c>
      <c r="E212">
        <v>4502.58</v>
      </c>
      <c r="F212">
        <v>331270.14</v>
      </c>
      <c r="G212">
        <v>7498.04</v>
      </c>
    </row>
    <row r="213" spans="3:7" ht="13.5" hidden="1" customHeight="1" x14ac:dyDescent="0.15">
      <c r="C213">
        <v>45886.1</v>
      </c>
      <c r="E213">
        <v>892.26</v>
      </c>
      <c r="F213">
        <v>5467.8</v>
      </c>
      <c r="G213">
        <v>7001.08</v>
      </c>
    </row>
    <row r="214" spans="3:7" ht="13.5" hidden="1" customHeight="1" x14ac:dyDescent="0.15">
      <c r="D214">
        <v>178.86</v>
      </c>
      <c r="E214">
        <v>717.64</v>
      </c>
      <c r="F214">
        <v>189.35</v>
      </c>
      <c r="G214">
        <v>360.96</v>
      </c>
    </row>
    <row r="215" spans="3:7" ht="13.5" hidden="1" customHeight="1" x14ac:dyDescent="0.15"/>
    <row r="216" spans="3:7" ht="13.5" hidden="1" customHeight="1" x14ac:dyDescent="0.15">
      <c r="C216">
        <v>447736.31</v>
      </c>
      <c r="D216">
        <v>11.26</v>
      </c>
      <c r="E216">
        <v>34954.129999999997</v>
      </c>
      <c r="F216">
        <v>8824.18</v>
      </c>
      <c r="G216">
        <v>545664.09</v>
      </c>
    </row>
    <row r="217" spans="3:7" ht="13.5" hidden="1" customHeight="1" x14ac:dyDescent="0.15">
      <c r="C217">
        <v>503585.86</v>
      </c>
      <c r="D217">
        <v>10215.15</v>
      </c>
      <c r="E217">
        <v>41066.61</v>
      </c>
      <c r="F217">
        <v>345751.47</v>
      </c>
      <c r="G217">
        <v>560524.17000000004</v>
      </c>
    </row>
    <row r="218" spans="3:7" ht="13.5" hidden="1" customHeight="1" x14ac:dyDescent="0.15">
      <c r="C218">
        <v>36512.019999999997</v>
      </c>
      <c r="D218">
        <v>38625.35</v>
      </c>
      <c r="E218">
        <v>59101.49</v>
      </c>
      <c r="F218">
        <v>3593</v>
      </c>
      <c r="G218">
        <v>63093.15</v>
      </c>
    </row>
    <row r="219" spans="3:7" ht="13.5" hidden="1" customHeight="1" x14ac:dyDescent="0.15">
      <c r="C219">
        <v>9199.7199999999993</v>
      </c>
      <c r="D219">
        <v>800</v>
      </c>
      <c r="F219">
        <v>309651.92</v>
      </c>
    </row>
    <row r="220" spans="3:7" ht="13.5" hidden="1" customHeight="1" x14ac:dyDescent="0.15">
      <c r="D220">
        <v>271.48</v>
      </c>
      <c r="G220">
        <v>2598.1</v>
      </c>
    </row>
    <row r="221" spans="3:7" ht="13.5" hidden="1" customHeight="1" x14ac:dyDescent="0.15">
      <c r="C221">
        <v>427273.42</v>
      </c>
      <c r="D221">
        <v>8338.42</v>
      </c>
      <c r="E221">
        <v>39800</v>
      </c>
      <c r="F221">
        <v>14077.15</v>
      </c>
      <c r="G221">
        <v>616286.94999999995</v>
      </c>
    </row>
    <row r="222" spans="3:7" ht="13.5" hidden="1" customHeight="1" x14ac:dyDescent="0.15">
      <c r="C222">
        <v>472985.16</v>
      </c>
      <c r="D222">
        <v>48035.25</v>
      </c>
      <c r="E222">
        <v>98901.49</v>
      </c>
      <c r="F222">
        <v>327322.07</v>
      </c>
      <c r="G222">
        <v>681978.19</v>
      </c>
    </row>
    <row r="223" spans="3:7" ht="13.5" hidden="1" customHeight="1" x14ac:dyDescent="0.15">
      <c r="C223">
        <v>30600.7</v>
      </c>
      <c r="D223">
        <v>-37820.1</v>
      </c>
      <c r="E223">
        <v>-57834.879999999997</v>
      </c>
      <c r="F223">
        <v>18429.400000000001</v>
      </c>
      <c r="G223">
        <v>-121454.02</v>
      </c>
    </row>
    <row r="224" spans="3:7" ht="13.5" hidden="1" customHeight="1" x14ac:dyDescent="0.15">
      <c r="C224">
        <v>16436.82</v>
      </c>
      <c r="D224">
        <v>30</v>
      </c>
      <c r="E224">
        <v>750</v>
      </c>
      <c r="F224">
        <v>1115.6199999999999</v>
      </c>
      <c r="G224">
        <v>600</v>
      </c>
    </row>
    <row r="225" spans="3:7" ht="13.5" hidden="1" customHeight="1" x14ac:dyDescent="0.15">
      <c r="C225">
        <v>5</v>
      </c>
      <c r="D225">
        <v>30</v>
      </c>
      <c r="E225">
        <v>750</v>
      </c>
      <c r="G225">
        <v>600</v>
      </c>
    </row>
    <row r="226" spans="3:7" ht="13.5" hidden="1" customHeight="1" x14ac:dyDescent="0.15">
      <c r="C226">
        <v>107623.74</v>
      </c>
      <c r="D226">
        <v>333512.44</v>
      </c>
      <c r="E226">
        <v>388204.34</v>
      </c>
      <c r="F226">
        <v>5910</v>
      </c>
      <c r="G226">
        <v>176146.98</v>
      </c>
    </row>
    <row r="227" spans="3:7" ht="13.5" hidden="1" customHeight="1" x14ac:dyDescent="0.15">
      <c r="C227">
        <v>109692</v>
      </c>
    </row>
    <row r="228" spans="3:7" ht="13.5" hidden="1" customHeight="1" x14ac:dyDescent="0.15">
      <c r="D228">
        <v>31373.43</v>
      </c>
      <c r="E228">
        <v>4390</v>
      </c>
      <c r="F228">
        <v>6406.38</v>
      </c>
      <c r="G228">
        <v>3000</v>
      </c>
    </row>
    <row r="229" spans="3:7" ht="13.5" hidden="1" customHeight="1" x14ac:dyDescent="0.15">
      <c r="C229">
        <v>233752.56</v>
      </c>
      <c r="D229">
        <v>364915.87</v>
      </c>
      <c r="E229">
        <v>393344.34</v>
      </c>
      <c r="F229">
        <v>13432</v>
      </c>
      <c r="G229">
        <v>179746.98</v>
      </c>
    </row>
    <row r="230" spans="3:7" ht="13.5" hidden="1" customHeight="1" x14ac:dyDescent="0.15">
      <c r="C230">
        <v>105125.38</v>
      </c>
      <c r="D230">
        <v>322120.71000000002</v>
      </c>
      <c r="E230">
        <v>362480.51</v>
      </c>
      <c r="F230">
        <v>200161.15</v>
      </c>
      <c r="G230">
        <v>256700</v>
      </c>
    </row>
    <row r="231" spans="3:7" ht="13.5" hidden="1" customHeight="1" x14ac:dyDescent="0.15">
      <c r="C231">
        <v>121206.1</v>
      </c>
      <c r="D231">
        <v>12236.47</v>
      </c>
      <c r="E231">
        <v>38809.69</v>
      </c>
      <c r="F231">
        <v>17851.650000000001</v>
      </c>
      <c r="G231">
        <v>110439.78</v>
      </c>
    </row>
    <row r="232" spans="3:7" ht="13.5" hidden="1" customHeight="1" x14ac:dyDescent="0.15">
      <c r="C232">
        <v>1635.99</v>
      </c>
      <c r="D232">
        <v>1259.18</v>
      </c>
      <c r="E232">
        <v>2450</v>
      </c>
      <c r="G232">
        <v>1667.02</v>
      </c>
    </row>
    <row r="233" spans="3:7" ht="13.5" hidden="1" customHeight="1" x14ac:dyDescent="0.15">
      <c r="C233">
        <v>20368.669999999998</v>
      </c>
      <c r="D233">
        <v>99377.41</v>
      </c>
      <c r="E233">
        <v>35870.54</v>
      </c>
      <c r="F233">
        <v>54642.17</v>
      </c>
      <c r="G233">
        <v>25604.54</v>
      </c>
    </row>
    <row r="234" spans="3:7" ht="13.5" hidden="1" customHeight="1" x14ac:dyDescent="0.15">
      <c r="C234">
        <v>246700.14</v>
      </c>
      <c r="D234">
        <v>433734.6</v>
      </c>
      <c r="E234">
        <v>437160.74</v>
      </c>
      <c r="F234">
        <v>272654.96999999997</v>
      </c>
      <c r="G234">
        <v>392744.32</v>
      </c>
    </row>
    <row r="235" spans="3:7" ht="13.5" hidden="1" customHeight="1" x14ac:dyDescent="0.15">
      <c r="C235">
        <v>-12947.58</v>
      </c>
      <c r="D235">
        <v>-68818.73</v>
      </c>
      <c r="E235">
        <v>-43816.41</v>
      </c>
      <c r="F235">
        <v>-259222.97</v>
      </c>
      <c r="G235">
        <v>-212997.34</v>
      </c>
    </row>
    <row r="236" spans="3:7" ht="13.5" hidden="1" customHeight="1" x14ac:dyDescent="0.15">
      <c r="C236">
        <v>8170.03</v>
      </c>
      <c r="D236">
        <v>8977.74</v>
      </c>
      <c r="F236">
        <v>1079.8900000000001</v>
      </c>
      <c r="G236">
        <v>5376.83</v>
      </c>
    </row>
    <row r="237" spans="3:7" ht="13.5" hidden="1" customHeight="1" x14ac:dyDescent="0.15">
      <c r="C237">
        <v>73903.820000000007</v>
      </c>
      <c r="D237">
        <v>-9353.77</v>
      </c>
      <c r="E237">
        <v>-17558.95</v>
      </c>
      <c r="F237">
        <v>7334.01</v>
      </c>
      <c r="G237">
        <v>-51652.91</v>
      </c>
    </row>
    <row r="238" spans="3:7" ht="13.5" hidden="1" customHeight="1" x14ac:dyDescent="0.15">
      <c r="C238">
        <v>232870.43</v>
      </c>
      <c r="D238">
        <v>80503.09</v>
      </c>
      <c r="E238">
        <v>210656.43</v>
      </c>
      <c r="F238">
        <v>39475.800000000003</v>
      </c>
      <c r="G238">
        <v>249288.17</v>
      </c>
    </row>
    <row r="239" spans="3:7" ht="13.5" hidden="1" customHeight="1" x14ac:dyDescent="0.15">
      <c r="C239">
        <v>306774.25</v>
      </c>
      <c r="D239">
        <v>71149.320000000007</v>
      </c>
      <c r="E239">
        <v>193097.48</v>
      </c>
      <c r="F239">
        <v>46809.81</v>
      </c>
      <c r="G239">
        <v>197635.26</v>
      </c>
    </row>
    <row r="240" spans="3:7" ht="13.5" hidden="1" customHeight="1" x14ac:dyDescent="0.15">
      <c r="C240">
        <v>261719.39</v>
      </c>
      <c r="D240">
        <v>-2048.9699999999998</v>
      </c>
      <c r="E240">
        <v>23788.93</v>
      </c>
      <c r="F240">
        <v>33580.61</v>
      </c>
      <c r="G240">
        <v>186707.95</v>
      </c>
    </row>
    <row r="241" spans="3:7" ht="13.5" hidden="1" customHeight="1" x14ac:dyDescent="0.15"/>
    <row r="242" spans="3:7" ht="13.5" hidden="1" customHeight="1" x14ac:dyDescent="0.15"/>
    <row r="243" spans="3:7" ht="13.5" hidden="1" customHeight="1" x14ac:dyDescent="0.15">
      <c r="C243">
        <v>36499.69</v>
      </c>
      <c r="D243">
        <v>9250.09</v>
      </c>
      <c r="E243">
        <v>5140.5200000000004</v>
      </c>
      <c r="F243">
        <v>6574.99</v>
      </c>
      <c r="G243">
        <v>15668.9</v>
      </c>
    </row>
    <row r="244" spans="3:7" ht="13.5" hidden="1" customHeight="1" x14ac:dyDescent="0.15">
      <c r="C244">
        <v>7731.91</v>
      </c>
      <c r="D244">
        <v>53665.120000000003</v>
      </c>
      <c r="E244">
        <v>23519.86</v>
      </c>
      <c r="F244">
        <v>1041.5</v>
      </c>
      <c r="G244">
        <v>46589.94</v>
      </c>
    </row>
    <row r="245" spans="3:7" ht="13.5" hidden="1" customHeight="1" x14ac:dyDescent="0.15">
      <c r="C245">
        <v>588.55999999999995</v>
      </c>
      <c r="D245">
        <v>2140.16</v>
      </c>
      <c r="E245">
        <v>1780.24</v>
      </c>
      <c r="F245">
        <v>341.44</v>
      </c>
      <c r="G245">
        <v>3960.62</v>
      </c>
    </row>
    <row r="246" spans="3:7" ht="13.5" hidden="1" customHeight="1" x14ac:dyDescent="0.15">
      <c r="C246">
        <v>2068.02</v>
      </c>
      <c r="D246">
        <v>15054.25</v>
      </c>
      <c r="E246">
        <v>18813.63</v>
      </c>
      <c r="F246">
        <v>524.4</v>
      </c>
      <c r="G246">
        <v>4954.26</v>
      </c>
    </row>
    <row r="247" spans="3:7" ht="13.5" hidden="1" customHeight="1" x14ac:dyDescent="0.15"/>
    <row r="248" spans="3:7" ht="13.5" hidden="1" customHeight="1" x14ac:dyDescent="0.15"/>
    <row r="249" spans="3:7" ht="13.5" hidden="1" customHeight="1" x14ac:dyDescent="0.15">
      <c r="C249">
        <v>-53.08</v>
      </c>
      <c r="D249">
        <v>51.49</v>
      </c>
      <c r="E249">
        <v>0.75</v>
      </c>
      <c r="F249">
        <v>-3226.8</v>
      </c>
      <c r="G249">
        <v>371.19</v>
      </c>
    </row>
    <row r="250" spans="3:7" ht="13.5" hidden="1" customHeight="1" x14ac:dyDescent="0.15">
      <c r="C250">
        <v>107.33</v>
      </c>
      <c r="D250">
        <v>87.18</v>
      </c>
      <c r="E250">
        <v>204.22</v>
      </c>
      <c r="F250">
        <v>146.05000000000001</v>
      </c>
      <c r="G250">
        <v>250.02</v>
      </c>
    </row>
    <row r="251" spans="3:7" ht="13.5" hidden="1" customHeight="1" x14ac:dyDescent="0.15">
      <c r="C251">
        <v>-13959.67</v>
      </c>
      <c r="D251">
        <v>-1288.72</v>
      </c>
      <c r="E251">
        <v>1015.75</v>
      </c>
      <c r="F251">
        <v>1626.99</v>
      </c>
      <c r="G251">
        <v>-271.01</v>
      </c>
    </row>
    <row r="252" spans="3:7" ht="13.5" hidden="1" customHeight="1" x14ac:dyDescent="0.15"/>
    <row r="253" spans="3:7" ht="13.5" hidden="1" customHeight="1" x14ac:dyDescent="0.15"/>
    <row r="254" spans="3:7" ht="13.5" hidden="1" customHeight="1" x14ac:dyDescent="0.15">
      <c r="C254">
        <v>5205.1099999999997</v>
      </c>
      <c r="D254">
        <v>11941.34</v>
      </c>
      <c r="E254">
        <v>8311.43</v>
      </c>
      <c r="F254">
        <v>5449.23</v>
      </c>
      <c r="G254">
        <v>4828.7299999999996</v>
      </c>
    </row>
    <row r="255" spans="3:7" ht="13.5" hidden="1" customHeight="1" x14ac:dyDescent="0.15">
      <c r="C255">
        <v>-27571.74</v>
      </c>
      <c r="D255">
        <v>519.38</v>
      </c>
      <c r="E255">
        <v>450.63</v>
      </c>
      <c r="F255">
        <v>-5652.98</v>
      </c>
      <c r="G255">
        <v>-4022.77</v>
      </c>
    </row>
    <row r="256" spans="3:7" ht="13.5" hidden="1" customHeight="1" x14ac:dyDescent="0.15">
      <c r="C256">
        <v>10375.06</v>
      </c>
      <c r="D256">
        <v>-1592.26</v>
      </c>
      <c r="E256">
        <v>-1196.97</v>
      </c>
      <c r="F256">
        <v>-487.61</v>
      </c>
      <c r="G256">
        <v>-10434.73</v>
      </c>
    </row>
    <row r="257" spans="3:7" ht="13.5" hidden="1" customHeight="1" x14ac:dyDescent="0.15">
      <c r="C257">
        <v>-13023.14</v>
      </c>
      <c r="D257">
        <v>-16.920000000000002</v>
      </c>
      <c r="E257">
        <v>-1140.3599999999999</v>
      </c>
      <c r="G257">
        <v>-4511.82</v>
      </c>
    </row>
    <row r="258" spans="3:7" ht="13.5" hidden="1" customHeight="1" x14ac:dyDescent="0.15">
      <c r="C258">
        <v>-200446.14</v>
      </c>
      <c r="D258">
        <v>-19130.400000000001</v>
      </c>
      <c r="E258">
        <v>-249.66</v>
      </c>
      <c r="F258">
        <v>444.16</v>
      </c>
      <c r="G258">
        <v>-1351.51</v>
      </c>
    </row>
    <row r="259" spans="3:7" ht="13.5" hidden="1" customHeight="1" x14ac:dyDescent="0.15">
      <c r="C259">
        <v>-66060.990000000005</v>
      </c>
      <c r="D259">
        <v>396.64</v>
      </c>
      <c r="E259">
        <v>3005.26</v>
      </c>
      <c r="F259">
        <v>-46675.82</v>
      </c>
      <c r="G259">
        <v>-117871.83</v>
      </c>
    </row>
    <row r="260" spans="3:7" ht="13.5" hidden="1" customHeight="1" x14ac:dyDescent="0.15">
      <c r="C260">
        <v>21187.07</v>
      </c>
      <c r="D260">
        <v>13750.83</v>
      </c>
      <c r="E260">
        <v>-847.21</v>
      </c>
      <c r="F260">
        <v>233597.44</v>
      </c>
      <c r="G260">
        <v>131355.25</v>
      </c>
    </row>
    <row r="261" spans="3:7" ht="13.5" hidden="1" customHeight="1" x14ac:dyDescent="0.15"/>
    <row r="262" spans="3:7" ht="13.5" hidden="1" customHeight="1" x14ac:dyDescent="0.15"/>
    <row r="263" spans="3:7" ht="13.5" hidden="1" customHeight="1" x14ac:dyDescent="0.15">
      <c r="D263">
        <v>-48.8</v>
      </c>
      <c r="G263">
        <v>6789.5</v>
      </c>
    </row>
    <row r="264" spans="3:7" ht="13.5" hidden="1" customHeight="1" x14ac:dyDescent="0.15">
      <c r="C264">
        <v>48080.66</v>
      </c>
      <c r="D264">
        <v>88307.33</v>
      </c>
      <c r="E264">
        <v>84092.34</v>
      </c>
      <c r="F264">
        <v>247047.7</v>
      </c>
      <c r="G264">
        <v>277421.62</v>
      </c>
    </row>
    <row r="265" spans="3:7" ht="13.5" hidden="1" customHeight="1" x14ac:dyDescent="0.15"/>
    <row r="266" spans="3:7" ht="13.5" hidden="1" customHeight="1" x14ac:dyDescent="0.15"/>
    <row r="267" spans="3:7" ht="13.5" hidden="1" customHeight="1" x14ac:dyDescent="0.15"/>
    <row r="268" spans="3:7" ht="13.5" hidden="1" customHeight="1" x14ac:dyDescent="0.15">
      <c r="C268">
        <v>306774.25</v>
      </c>
      <c r="D268">
        <v>71149.320000000007</v>
      </c>
      <c r="E268">
        <v>193097.48</v>
      </c>
      <c r="F268">
        <v>46809.81</v>
      </c>
      <c r="G268">
        <v>197635.26</v>
      </c>
    </row>
    <row r="269" spans="3:7" ht="13.5" hidden="1" customHeight="1" x14ac:dyDescent="0.15">
      <c r="C269">
        <v>232870.43</v>
      </c>
      <c r="D269">
        <v>80503.09</v>
      </c>
      <c r="E269">
        <v>210656.43</v>
      </c>
      <c r="F269">
        <v>39475.800000000003</v>
      </c>
      <c r="G269">
        <v>249288.17</v>
      </c>
    </row>
    <row r="270" spans="3:7" ht="13.5" hidden="1" customHeight="1" x14ac:dyDescent="0.15"/>
    <row r="271" spans="3:7" ht="13.5" hidden="1" customHeight="1" x14ac:dyDescent="0.15"/>
    <row r="272" spans="3:7" ht="13.5" hidden="1" customHeight="1" x14ac:dyDescent="0.15">
      <c r="C272">
        <v>73903.820000000007</v>
      </c>
      <c r="D272">
        <v>-9353.77</v>
      </c>
      <c r="E272">
        <v>-17558.95</v>
      </c>
      <c r="F272">
        <v>7334.01</v>
      </c>
      <c r="G272">
        <v>-51652.91</v>
      </c>
    </row>
  </sheetData>
  <phoneticPr fontId="7" type="noConversion"/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H2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23" width="16.5" customWidth="1"/>
  </cols>
  <sheetData>
    <row r="1" spans="1:8" ht="21.95" customHeight="1" x14ac:dyDescent="0.15">
      <c r="A1" s="5" t="s">
        <v>15</v>
      </c>
      <c r="B1" s="5" t="s">
        <v>14</v>
      </c>
      <c r="C1" s="5" t="s">
        <v>16</v>
      </c>
      <c r="D1" s="5" t="s">
        <v>144</v>
      </c>
      <c r="E1" s="5" t="s">
        <v>497</v>
      </c>
      <c r="F1" s="5" t="s">
        <v>498</v>
      </c>
      <c r="G1" s="5" t="s">
        <v>499</v>
      </c>
      <c r="H1" s="5" t="s">
        <v>500</v>
      </c>
    </row>
    <row r="2" spans="1:8" ht="20.100000000000001" customHeight="1" x14ac:dyDescent="0.15">
      <c r="A2" s="6"/>
      <c r="B2" s="6"/>
      <c r="C2" s="6"/>
      <c r="D2" s="13">
        <v>46022</v>
      </c>
      <c r="E2" s="13">
        <v>46022</v>
      </c>
      <c r="F2" s="13">
        <v>46022</v>
      </c>
      <c r="G2" s="13">
        <v>46022</v>
      </c>
      <c r="H2" s="13">
        <v>46022</v>
      </c>
    </row>
    <row r="3" spans="1:8" ht="16.5" x14ac:dyDescent="0.35">
      <c r="A3" s="8" t="s">
        <v>81</v>
      </c>
      <c r="B3" s="8" t="s">
        <v>82</v>
      </c>
      <c r="C3" s="8" t="s">
        <v>83</v>
      </c>
      <c r="D3" s="14">
        <f>IFERROR((A股_利润表!C23)/(A股_利润表!C4),"")</f>
        <v>8.5769132225603339E-2</v>
      </c>
      <c r="E3" s="14">
        <f>IFERROR((A股_利润表!E23)/(A股_利润表!E4),"")</f>
        <v>-2.2990941032657777E-3</v>
      </c>
      <c r="F3" s="14">
        <f>IFERROR((A股_利润表!G23)/(A股_利润表!G4),"")</f>
        <v>2.6975859069505777E-2</v>
      </c>
      <c r="G3" s="14">
        <f>IFERROR((A股_利润表!I23)/(A股_利润表!I4),"")</f>
        <v>3.8594204846364874E-2</v>
      </c>
      <c r="H3" s="14">
        <f>IFERROR((A股_利润表!K23)/(A股_利润表!K4),"")</f>
        <v>9.3091509075651752E-2</v>
      </c>
    </row>
    <row r="4" spans="1:8" ht="16.5" x14ac:dyDescent="0.35">
      <c r="A4" s="8" t="s">
        <v>81</v>
      </c>
      <c r="B4" s="8" t="s">
        <v>84</v>
      </c>
      <c r="C4" s="8" t="s">
        <v>85</v>
      </c>
      <c r="D4" s="14">
        <f>IFERROR((A股_利润表!C4-A股_利润表!C6-A股_利润表!C7)/(A股_利润表!C4),"")</f>
        <v>0.44998704775594595</v>
      </c>
      <c r="E4" s="14">
        <f>IFERROR((A股_利润表!E4-A股_利润表!E6-A股_利润表!E7)/(A股_利润表!E4),"")</f>
        <v>0.3871710398679975</v>
      </c>
      <c r="F4" s="14">
        <f>IFERROR((A股_利润表!G4-A股_利润表!G6-A股_利润表!G7)/(A股_利润表!G4),"")</f>
        <v>0.34960235636506271</v>
      </c>
      <c r="G4" s="14">
        <f>IFERROR((A股_利润表!I4-A股_利润表!I6-A股_利润表!I7)/(A股_利润表!I4),"")</f>
        <v>0.34326065595026889</v>
      </c>
      <c r="H4" s="14">
        <f>IFERROR((A股_利润表!K4-A股_利润表!K6-A股_利润表!K7)/(A股_利润表!K4),"")</f>
        <v>0.320471046113745</v>
      </c>
    </row>
    <row r="5" spans="1:8" ht="16.5" x14ac:dyDescent="0.35">
      <c r="A5" s="8" t="s">
        <v>81</v>
      </c>
      <c r="B5" s="8" t="s">
        <v>86</v>
      </c>
      <c r="C5" s="8" t="s">
        <v>87</v>
      </c>
      <c r="D5" s="14">
        <f>IFERROR((A股_利润表!C8+A股_利润表!C9+A股_利润表!C10)/(A股_利润表!C4),"")</f>
        <v>0.2612693977821634</v>
      </c>
      <c r="E5" s="14">
        <f>IFERROR((A股_利润表!E8+A股_利润表!E9+A股_利润表!E10)/(A股_利润表!E4),"")</f>
        <v>0.35283265220130428</v>
      </c>
      <c r="F5" s="14">
        <f>IFERROR((A股_利润表!G8+A股_利润表!G9+A股_利润表!G10)/(A股_利润表!G4),"")</f>
        <v>0.28427814094201537</v>
      </c>
      <c r="G5" s="14">
        <f>IFERROR((A股_利润表!I8+A股_利润表!I9+A股_利润表!I10)/(A股_利润表!I4),"")</f>
        <v>0.2886704206951653</v>
      </c>
      <c r="H5" s="14">
        <f>IFERROR((A股_利润表!K8+A股_利润表!K9+A股_利润表!K10)/(A股_利润表!K4),"")</f>
        <v>0.18999986677561817</v>
      </c>
    </row>
    <row r="6" spans="1:8" ht="16.5" x14ac:dyDescent="0.35">
      <c r="A6" s="8" t="s">
        <v>81</v>
      </c>
      <c r="B6" s="8" t="s">
        <v>88</v>
      </c>
      <c r="C6" s="8" t="s">
        <v>89</v>
      </c>
      <c r="D6" s="14">
        <f>IFERROR((A股_利润表!C23)/(AVERAGE(A股_资产负债表!C46,A股_资产负债表!D46)),"")</f>
        <v>0.14274071950140288</v>
      </c>
      <c r="E6" s="14">
        <f>IFERROR((A股_利润表!E23)/(AVERAGE(A股_资产负债表!E46,A股_资产负债表!F46)),"")</f>
        <v>-2.1287787343298383E-3</v>
      </c>
      <c r="F6" s="14">
        <f>IFERROR((A股_利润表!G23)/(AVERAGE(A股_资产负债表!G46,A股_资产负债表!H46)),"")</f>
        <v>2.7096018113437863E-2</v>
      </c>
      <c r="G6" s="14">
        <f>IFERROR((A股_利润表!I23)/(AVERAGE(A股_资产负债表!I46,A股_资产负债表!J46)),"")</f>
        <v>5.1282429935469304E-2</v>
      </c>
      <c r="H6" s="14">
        <f>IFERROR((A股_利润表!K23)/(AVERAGE(A股_资产负债表!K46,A股_资产负债表!L46)),"")</f>
        <v>0.10223907119490498</v>
      </c>
    </row>
    <row r="7" spans="1:8" ht="16.5" x14ac:dyDescent="0.35">
      <c r="A7" s="8" t="s">
        <v>81</v>
      </c>
      <c r="B7" s="8" t="s">
        <v>90</v>
      </c>
      <c r="C7" s="8" t="s">
        <v>91</v>
      </c>
      <c r="D7" s="14">
        <f>IFERROR((A股_利润表!C24)/(A股_资产负债表!C87),"")</f>
        <v>0.24175796023773044</v>
      </c>
      <c r="E7" s="14">
        <f>IFERROR((A股_利润表!E24)/(A股_资产负债表!E87),"")</f>
        <v>-2.8070459611373951E-3</v>
      </c>
      <c r="F7" s="14">
        <f>IFERROR((A股_利润表!G24)/(A股_资产负债表!G87),"")</f>
        <v>6.7817115958736449E-2</v>
      </c>
      <c r="G7" s="14">
        <f>IFERROR((A股_利润表!I24)/(A股_资产负债表!I87),"")</f>
        <v>9.9431277047192249E-2</v>
      </c>
      <c r="H7" s="14">
        <f>IFERROR((A股_利润表!K24)/(A股_资产负债表!K87),"")</f>
        <v>0.16908007303887029</v>
      </c>
    </row>
    <row r="8" spans="1:8" ht="16.5" x14ac:dyDescent="0.35">
      <c r="A8" s="8" t="s">
        <v>92</v>
      </c>
      <c r="B8" s="8" t="s">
        <v>93</v>
      </c>
      <c r="C8" s="8" t="s">
        <v>94</v>
      </c>
      <c r="D8" s="14">
        <f>IFERROR((A股_资产负债表!C46)/(A股_资产负债表!D46)-1,"")</f>
        <v>0.20857903222613428</v>
      </c>
      <c r="E8" s="14">
        <f>IFERROR((A股_资产负债表!E46)/(A股_资产负债表!F46)-1,"")</f>
        <v>4.835510142526811E-4</v>
      </c>
      <c r="F8" s="14">
        <f>IFERROR((A股_资产负债表!G46)/(A股_资产负债表!H46)-1,"")</f>
        <v>-2.813970098470342E-2</v>
      </c>
      <c r="G8" s="14">
        <f>IFERROR((A股_资产负债表!I46)/(A股_资产负债表!J46)-1,"")</f>
        <v>8.8142077592706647E-2</v>
      </c>
      <c r="H8" s="14">
        <f>IFERROR((A股_资产负债表!K46)/(A股_资产负债表!L46)-1,"")</f>
        <v>8.7926574957488235E-2</v>
      </c>
    </row>
    <row r="9" spans="1:8" ht="16.5" x14ac:dyDescent="0.35">
      <c r="A9" s="8" t="s">
        <v>92</v>
      </c>
      <c r="B9" s="8" t="s">
        <v>95</v>
      </c>
      <c r="C9" s="8" t="s">
        <v>96</v>
      </c>
      <c r="D9" s="14">
        <f>IFERROR((A股_利润表!C4)/(A股_利润表!D4)-1,"")</f>
        <v>0.23489697441412205</v>
      </c>
      <c r="E9" s="14">
        <f>IFERROR((A股_利润表!E4)/(A股_利润表!F4)-1,"")</f>
        <v>5.4760096064729646E-2</v>
      </c>
      <c r="F9" s="14">
        <f>IFERROR((A股_利润表!G4)/(A股_利润表!H4)-1,"")</f>
        <v>1.0248860943956606E-2</v>
      </c>
      <c r="G9" s="14">
        <f>IFERROR((A股_利润表!I4)/(A股_利润表!J4)-1,"")</f>
        <v>7.1039243521818785E-2</v>
      </c>
      <c r="H9" s="14">
        <f>IFERROR((A股_利润表!K4)/(A股_利润表!L4)-1,"")</f>
        <v>8.5319032912473336E-2</v>
      </c>
    </row>
    <row r="10" spans="1:8" ht="16.5" x14ac:dyDescent="0.35">
      <c r="A10" s="8" t="s">
        <v>92</v>
      </c>
      <c r="B10" s="8" t="s">
        <v>97</v>
      </c>
      <c r="C10" s="8" t="s">
        <v>98</v>
      </c>
      <c r="D10" s="14">
        <f>IFERROR((A股_利润表!C23)/(A股_利润表!D23)-1,"")</f>
        <v>0.18364863300294343</v>
      </c>
      <c r="E10" s="14">
        <f>IFERROR((A股_利润表!E23)/(A股_利润表!F23)-1,"")</f>
        <v>-0.88550880041751623</v>
      </c>
      <c r="F10" s="14">
        <f>IFERROR((A股_利润表!G23)/(A股_利润表!H23)-1,"")</f>
        <v>-0.27155166474313774</v>
      </c>
      <c r="G10" s="14">
        <f>IFERROR((A股_利润表!I23)/(A股_利润表!J23)-1,"")</f>
        <v>6.6923741290154659E-3</v>
      </c>
      <c r="H10" s="14">
        <f>IFERROR((A股_利润表!K23)/(A股_利润表!L23)-1,"")</f>
        <v>0.28983134601606597</v>
      </c>
    </row>
    <row r="11" spans="1:8" ht="16.5" x14ac:dyDescent="0.35">
      <c r="A11" s="8" t="s">
        <v>99</v>
      </c>
      <c r="B11" s="8" t="s">
        <v>100</v>
      </c>
      <c r="C11" s="8" t="s">
        <v>101</v>
      </c>
      <c r="D11" s="15">
        <f>IFERROR((A股_资产负债表!C22)/(A股_资产负债表!C65),"")</f>
        <v>2.3766712370954823</v>
      </c>
      <c r="E11" s="15">
        <f>IFERROR((A股_资产负债表!E22)/(A股_资产负债表!E65),"")</f>
        <v>1.0265741436863174</v>
      </c>
      <c r="F11" s="15">
        <f>IFERROR((A股_资产负债表!G22)/(A股_资产负债表!G65),"")</f>
        <v>1.1200031846409098</v>
      </c>
      <c r="G11" s="15">
        <f>IFERROR((A股_资产负债表!I22)/(A股_资产负债表!I65),"")</f>
        <v>2.0116461718598422</v>
      </c>
      <c r="H11" s="15">
        <f>IFERROR((A股_资产负债表!K22)/(A股_资产负债表!K65),"")</f>
        <v>1.176410849060342</v>
      </c>
    </row>
    <row r="12" spans="1:8" ht="16.5" x14ac:dyDescent="0.35">
      <c r="A12" s="8" t="s">
        <v>99</v>
      </c>
      <c r="B12" s="8" t="s">
        <v>102</v>
      </c>
      <c r="C12" s="8" t="s">
        <v>103</v>
      </c>
      <c r="D12" s="15">
        <f>IFERROR((A股_资产负债表!C22-A股_资产负债表!C16)/(A股_资产负债表!C65),"")</f>
        <v>1.638382028308587</v>
      </c>
      <c r="E12" s="15">
        <f>IFERROR((A股_资产负债表!E22-A股_资产负债表!E16)/(A股_资产负债表!E65),"")</f>
        <v>0.63043544061300572</v>
      </c>
      <c r="F12" s="15">
        <f>IFERROR((A股_资产负债表!G22-A股_资产负债表!G16)/(A股_资产负债表!G65),"")</f>
        <v>0.90778001121518115</v>
      </c>
      <c r="G12" s="15">
        <f>IFERROR((A股_资产负债表!I22-A股_资产负债表!I16)/(A股_资产负债表!I65),"")</f>
        <v>1.5003219736627267</v>
      </c>
      <c r="H12" s="15">
        <f>IFERROR((A股_资产负债表!K22-A股_资产负债表!K16)/(A股_资产负债表!K65),"")</f>
        <v>0.88324399140918208</v>
      </c>
    </row>
    <row r="13" spans="1:8" ht="16.5" x14ac:dyDescent="0.35">
      <c r="A13" s="8" t="s">
        <v>99</v>
      </c>
      <c r="B13" s="8" t="s">
        <v>104</v>
      </c>
      <c r="C13" s="8" t="s">
        <v>105</v>
      </c>
      <c r="D13" s="15">
        <f>IFERROR((A股_资产负债表!C3)/(A股_资产负债表!C65),"")</f>
        <v>0.54022354841237985</v>
      </c>
      <c r="E13" s="15">
        <f>IFERROR((A股_资产负债表!E3)/(A股_资产负债表!E65),"")</f>
        <v>0.24215788457096943</v>
      </c>
      <c r="F13" s="15">
        <f>IFERROR((A股_资产负债表!G3)/(A股_资产负债表!G65),"")</f>
        <v>0.52094667910312487</v>
      </c>
      <c r="G13" s="15">
        <f>IFERROR((A股_资产负债表!I3)/(A股_资产负债表!I65),"")</f>
        <v>0.26686683059630034</v>
      </c>
      <c r="H13" s="15">
        <f>IFERROR((A股_资产负债表!K3)/(A股_资产负债表!K65),"")</f>
        <v>0.3321116505384672</v>
      </c>
    </row>
    <row r="14" spans="1:8" ht="16.5" x14ac:dyDescent="0.35">
      <c r="A14" s="8" t="s">
        <v>99</v>
      </c>
      <c r="B14" s="8" t="s">
        <v>106</v>
      </c>
      <c r="C14" s="8" t="s">
        <v>107</v>
      </c>
      <c r="D14" s="14">
        <f>IFERROR((A股_资产负债表!C78)/(A股_资产负债表!C46),"")</f>
        <v>0.4662018496386523</v>
      </c>
      <c r="E14" s="14">
        <f>IFERROR((A股_资产负债表!E78)/(A股_资产负债表!E46),"")</f>
        <v>0.63225228492356522</v>
      </c>
      <c r="F14" s="14">
        <f>IFERROR((A股_资产负债表!G78)/(A股_资产负债表!G46),"")</f>
        <v>0.58221857261511289</v>
      </c>
      <c r="G14" s="14">
        <f>IFERROR((A股_资产负债表!I78)/(A股_资产负债表!I46),"")</f>
        <v>0.50513127273777492</v>
      </c>
      <c r="H14" s="14">
        <f>IFERROR((A股_资产负债表!K78)/(A股_资产负债表!K46),"")</f>
        <v>0.42746540942286015</v>
      </c>
    </row>
    <row r="15" spans="1:8" ht="16.5" x14ac:dyDescent="0.35">
      <c r="A15" s="8" t="s">
        <v>108</v>
      </c>
      <c r="B15" s="8" t="s">
        <v>109</v>
      </c>
      <c r="C15" s="8" t="s">
        <v>110</v>
      </c>
      <c r="D15" s="15">
        <f>IFERROR((AVERAGE(A股_资产负债表!C16,A股_资产负债表!D16)*360)/(A股_利润表!C6),"")</f>
        <v>88.380560837782056</v>
      </c>
      <c r="E15" s="15">
        <f>IFERROR((AVERAGE(A股_资产负债表!E16,A股_资产负债表!F16)*360)/(A股_利润表!E6),"")</f>
        <v>113.92605915763352</v>
      </c>
      <c r="F15" s="15">
        <f>IFERROR((AVERAGE(A股_资产负债表!G16,A股_资产负债表!H16)*360)/(A股_利润表!G6),"")</f>
        <v>56.493264051053082</v>
      </c>
      <c r="G15" s="15">
        <f>IFERROR((AVERAGE(A股_资产负债表!I16,A股_资产负债表!J16)*360)/(A股_利润表!I6),"")</f>
        <v>82.122836353040256</v>
      </c>
      <c r="H15" s="15">
        <f>IFERROR((AVERAGE(A股_资产负债表!K16,A股_资产负债表!L16)*360)/(A股_利润表!K6),"")</f>
        <v>59.785298470669687</v>
      </c>
    </row>
    <row r="16" spans="1:8" ht="16.5" x14ac:dyDescent="0.35">
      <c r="A16" s="8" t="s">
        <v>108</v>
      </c>
      <c r="B16" s="8" t="s">
        <v>111</v>
      </c>
      <c r="C16" s="8" t="s">
        <v>112</v>
      </c>
      <c r="D16" s="15">
        <f>IFERROR((AVERAGE(A股_资产负债表!C8,A股_资产负债表!D8)*360)/(A股_利润表!C4),"")</f>
        <v>20.804216280368109</v>
      </c>
      <c r="E16" s="15">
        <f>IFERROR((AVERAGE(A股_资产负债表!E8,A股_资产负债表!F8)*360)/(A股_利润表!E4),"")</f>
        <v>59.080060745446573</v>
      </c>
      <c r="F16" s="15">
        <f>IFERROR((AVERAGE(A股_资产负债表!G8,A股_资产负债表!H8)*360)/(A股_利润表!G4),"")</f>
        <v>42.466356903198097</v>
      </c>
      <c r="G16" s="15">
        <f>IFERROR((AVERAGE(A股_资产负债表!I8,A股_资产负债表!J8)*360)/(A股_利润表!I4),"")</f>
        <v>21.343431821242614</v>
      </c>
      <c r="H16" s="15">
        <f>IFERROR((AVERAGE(A股_资产负债表!K8,A股_资产负债表!L8)*360)/(A股_利润表!K4),"")</f>
        <v>30.031216985582173</v>
      </c>
    </row>
    <row r="17" spans="1:8" ht="16.5" x14ac:dyDescent="0.35">
      <c r="A17" s="8" t="s">
        <v>108</v>
      </c>
      <c r="B17" s="8" t="s">
        <v>113</v>
      </c>
      <c r="C17" s="8" t="s">
        <v>114</v>
      </c>
      <c r="D17" s="15">
        <f>IFERROR((AVERAGE(A股_资产负债表!C51,A股_资产负债表!D51)*360)/(A股_利润表!C6),"")</f>
        <v>39.181340090844856</v>
      </c>
      <c r="E17" s="15">
        <f>IFERROR((AVERAGE(A股_资产负债表!E51,A股_资产负债表!F51)*360)/(A股_利润表!E6),"")</f>
        <v>109.38322206505805</v>
      </c>
      <c r="F17" s="15">
        <f>IFERROR((AVERAGE(A股_资产负债表!G51,A股_资产负债表!H51)*360)/(A股_利润表!G6),"")</f>
        <v>107.06891079089618</v>
      </c>
      <c r="G17" s="15">
        <f>IFERROR((AVERAGE(A股_资产负债表!I51,A股_资产负债表!J51)*360)/(A股_利润表!I6),"")</f>
        <v>29.70387599112939</v>
      </c>
      <c r="H17" s="15">
        <f>IFERROR((AVERAGE(A股_资产负债表!K51,A股_资产负债表!L51)*360)/(A股_利润表!K6),"")</f>
        <v>48.879269484207242</v>
      </c>
    </row>
    <row r="18" spans="1:8" ht="16.5" x14ac:dyDescent="0.35">
      <c r="A18" s="8" t="s">
        <v>108</v>
      </c>
      <c r="B18" s="8" t="s">
        <v>115</v>
      </c>
      <c r="C18" s="8" t="s">
        <v>116</v>
      </c>
      <c r="D18" s="15">
        <f>IFERROR(IF(OR(D15="",D16="",D17=""),"",D15+D16-D17),"")</f>
        <v>70.00343702730531</v>
      </c>
      <c r="E18" s="15">
        <f>IFERROR(IF(OR(E15="",E16="",E17=""),"",E15+E16-E17),"")</f>
        <v>63.622897838022055</v>
      </c>
      <c r="F18" s="15">
        <f>IFERROR(IF(OR(F15="",F16="",F17=""),"",F15+F16-F17),"")</f>
        <v>-8.1092898366450044</v>
      </c>
      <c r="G18" s="15">
        <f>IFERROR(IF(OR(G15="",G16="",G17=""),"",G15+G16-G17),"")</f>
        <v>73.76239218315348</v>
      </c>
      <c r="H18" s="15">
        <f>IFERROR(IF(OR(H15="",H16="",H17=""),"",H15+H16-H17),"")</f>
        <v>40.937245972044622</v>
      </c>
    </row>
    <row r="19" spans="1:8" ht="16.5" x14ac:dyDescent="0.35">
      <c r="A19" s="8" t="s">
        <v>108</v>
      </c>
      <c r="B19" s="8" t="s">
        <v>117</v>
      </c>
      <c r="C19" s="8" t="s">
        <v>118</v>
      </c>
      <c r="D19" s="15">
        <f>IFERROR((A股_利润表!C4)/(AVERAGE(A股_资产负债表!C22,A股_资产负债表!D22)),"")</f>
        <v>2.1448177412080356</v>
      </c>
      <c r="E19" s="15">
        <f>IFERROR((A股_利润表!E4)/(AVERAGE(A股_资产负债表!E22,A股_资产负债表!F22)),"")</f>
        <v>1.9719514407525762</v>
      </c>
      <c r="F19" s="15">
        <f>IFERROR((A股_利润表!G4)/(AVERAGE(A股_资产负债表!G22,A股_资产负债表!H22)),"")</f>
        <v>1.8507477032813049</v>
      </c>
      <c r="G19" s="15">
        <f>IFERROR((A股_利润表!I4)/(AVERAGE(A股_资产负债表!I22,A股_资产负债表!J22)),"")</f>
        <v>2.0168016073134347</v>
      </c>
      <c r="H19" s="15">
        <f>IFERROR((A股_利润表!K4)/(AVERAGE(A股_资产负债表!K22,A股_资产负债表!L22)),"")</f>
        <v>2.4284075213331056</v>
      </c>
    </row>
    <row r="20" spans="1:8" ht="16.5" x14ac:dyDescent="0.35">
      <c r="A20" s="8" t="s">
        <v>108</v>
      </c>
      <c r="B20" s="8" t="s">
        <v>119</v>
      </c>
      <c r="C20" s="8" t="s">
        <v>120</v>
      </c>
      <c r="D20" s="15">
        <f>IFERROR((A股_利润表!C4)/(AVERAGE(A股_资产负债表!C46,A股_资产负债表!D46)),"")</f>
        <v>1.6642434847765974</v>
      </c>
      <c r="E20" s="15">
        <f>IFERROR((A股_利润表!E4)/(AVERAGE(A股_资产负债表!E46,A股_资产负债表!F46)),"")</f>
        <v>0.9259206621016457</v>
      </c>
      <c r="F20" s="15">
        <f>IFERROR((A股_利润表!G4)/(AVERAGE(A股_资产负债表!G46,A股_资产负债表!H46)),"")</f>
        <v>1.004454317603843</v>
      </c>
      <c r="G20" s="15">
        <f>IFERROR((A股_利润表!I4)/(AVERAGE(A股_资产负债表!I46,A股_资产负债表!J46)),"")</f>
        <v>1.3287598524082436</v>
      </c>
      <c r="H20" s="15">
        <f>IFERROR((A股_利润表!K4)/(AVERAGE(A股_资产负债表!K46,A股_资产负债表!L46)),"")</f>
        <v>1.098264194125582</v>
      </c>
    </row>
  </sheetData>
  <phoneticPr fontId="7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A2"/>
  <sheetViews>
    <sheetView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6" width="16.5" customWidth="1"/>
  </cols>
  <sheetData>
    <row r="1" ht="21.95" customHeight="1" x14ac:dyDescent="0.15"/>
    <row r="2" ht="20.100000000000001" customHeight="1" x14ac:dyDescent="0.15"/>
  </sheetData>
  <phoneticPr fontId="7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</sheetPr>
  <dimension ref="A1:Q2"/>
  <sheetViews>
    <sheetView workbookViewId="0">
      <pane ySplit="2" topLeftCell="A3" activePane="bottomLeft" state="frozen"/>
      <selection pane="bottomLeft" activeCell="G19" sqref="G19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92" t="s">
        <v>19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</row>
    <row r="2" spans="1:17" ht="20.100000000000001" customHeight="1" x14ac:dyDescent="0.15">
      <c r="A2" s="2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2" t="s">
        <v>28</v>
      </c>
      <c r="J2" s="3" t="s">
        <v>29</v>
      </c>
      <c r="K2" s="4" t="s">
        <v>32</v>
      </c>
      <c r="L2" s="75" t="s">
        <v>529</v>
      </c>
      <c r="M2" s="75" t="s">
        <v>530</v>
      </c>
      <c r="N2" s="75" t="s">
        <v>531</v>
      </c>
      <c r="O2" s="75" t="s">
        <v>532</v>
      </c>
      <c r="P2" s="75" t="s">
        <v>533</v>
      </c>
      <c r="Q2" s="75" t="s">
        <v>534</v>
      </c>
    </row>
  </sheetData>
  <mergeCells count="1">
    <mergeCell ref="A1:Q1"/>
  </mergeCells>
  <phoneticPr fontId="7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548235"/>
  </sheetPr>
  <dimension ref="A1:D21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528</v>
      </c>
      <c r="B1" s="5" t="s">
        <v>14</v>
      </c>
      <c r="C1" s="190" t="s">
        <v>516</v>
      </c>
      <c r="D1" s="191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33</v>
      </c>
      <c r="B3" s="8" t="s">
        <v>34</v>
      </c>
      <c r="C3" s="9">
        <f>IF(C202="","",IF(样本池!$E$6="原币",C202,IF(ISNUMBER(C202),C202*1,C202)))</f>
        <v>2123.1930000000002</v>
      </c>
      <c r="D3" s="9">
        <f>IF(D202="","",IF(样本池!$E$6="原币",D202,IF(ISNUMBER(D202),D202*1,D202)))</f>
        <v>1594.4169999999999</v>
      </c>
    </row>
    <row r="4" spans="1:4" ht="16.5" x14ac:dyDescent="0.35">
      <c r="A4" s="8" t="s">
        <v>33</v>
      </c>
      <c r="B4" s="8" t="s">
        <v>35</v>
      </c>
      <c r="C4" s="9">
        <f>IF(C203="","",IF(样本池!$E$6="原币",C203,IF(ISNUMBER(C203),C203*1,C203)))</f>
        <v>2717.2190000000001</v>
      </c>
      <c r="D4" s="9">
        <f>IF(D203="","",IF(样本池!$E$6="原币",D203,IF(ISNUMBER(D203),D203*1,D203)))</f>
        <v>2664.3150000000001</v>
      </c>
    </row>
    <row r="5" spans="1:4" ht="16.5" x14ac:dyDescent="0.35">
      <c r="A5" s="8" t="s">
        <v>33</v>
      </c>
      <c r="B5" s="8" t="s">
        <v>36</v>
      </c>
      <c r="C5" s="9">
        <f>IF(C204="","",IF(样本池!$E$6="原币",C204,IF(ISNUMBER(C204),C204*1,C204)))</f>
        <v>296.96899999999999</v>
      </c>
      <c r="D5" s="9">
        <f>IF(D204="","",IF(样本池!$E$6="原币",D204,IF(ISNUMBER(D204),D204*1,D204)))</f>
        <v>183.15700000000001</v>
      </c>
    </row>
    <row r="6" spans="1:4" ht="16.5" x14ac:dyDescent="0.35">
      <c r="A6" s="8" t="s">
        <v>33</v>
      </c>
      <c r="B6" s="8" t="s">
        <v>37</v>
      </c>
      <c r="C6" s="9">
        <f>IF(C205="","",IF(样本池!$E$6="原币",C205,IF(ISNUMBER(C205),C205*1,C205)))</f>
        <v>5997.3819999999996</v>
      </c>
      <c r="D6" s="9">
        <f>IF(D205="","",IF(样本池!$E$6="原币",D205,IF(ISNUMBER(D205),D205*1,D205)))</f>
        <v>4768.5200000000004</v>
      </c>
    </row>
    <row r="7" spans="1:4" ht="16.5" x14ac:dyDescent="0.35">
      <c r="A7" s="8" t="s">
        <v>38</v>
      </c>
      <c r="B7" s="8" t="s">
        <v>39</v>
      </c>
      <c r="C7" s="9">
        <f>IF(C206="","",IF(样本池!$E$6="原币",C206,IF(ISNUMBER(C206),C206*1,C206)))</f>
        <v>3582.364</v>
      </c>
      <c r="D7" s="9">
        <f>IF(D206="","",IF(样本池!$E$6="原币",D206,IF(ISNUMBER(D206),D206*1,D206)))</f>
        <v>3497.9430000000002</v>
      </c>
    </row>
    <row r="8" spans="1:4" ht="16.5" x14ac:dyDescent="0.35">
      <c r="A8" s="8" t="s">
        <v>38</v>
      </c>
      <c r="B8" s="8" t="s">
        <v>121</v>
      </c>
      <c r="C8" s="9">
        <f>IF(C207="","",IF(样本池!$E$6="原币",C207,IF(ISNUMBER(C207),C207*1,C207)))</f>
        <v>1627.44</v>
      </c>
      <c r="D8" s="9">
        <f>IF(D207="","",IF(样本池!$E$6="原币",D207,IF(ISNUMBER(D207),D207*1,D207)))</f>
        <v>1445.386</v>
      </c>
    </row>
    <row r="9" spans="1:4" ht="16.5" x14ac:dyDescent="0.35">
      <c r="A9" s="8" t="s">
        <v>38</v>
      </c>
      <c r="B9" s="8" t="s">
        <v>40</v>
      </c>
      <c r="C9" s="9">
        <f>IF(C208="","",IF(样本池!$E$6="原币",C208,IF(ISNUMBER(C208),C208*1,C208)))</f>
        <v>4137.5789999999997</v>
      </c>
      <c r="D9" s="9">
        <f>IF(D208="","",IF(样本池!$E$6="原币",D208,IF(ISNUMBER(D208),D208*1,D208)))</f>
        <v>4011.03</v>
      </c>
    </row>
    <row r="10" spans="1:4" ht="16.5" x14ac:dyDescent="0.35">
      <c r="A10" s="8" t="s">
        <v>54</v>
      </c>
      <c r="B10" s="8" t="s">
        <v>41</v>
      </c>
      <c r="C10" s="9">
        <f>IF(C209="","",IF(样本池!$E$6="原币",C209,IF(ISNUMBER(C209),C209*1,C209)))</f>
        <v>10134.960999999999</v>
      </c>
      <c r="D10" s="9">
        <f>IF(D209="","",IF(样本池!$E$6="原币",D209,IF(ISNUMBER(D209),D209*1,D209)))</f>
        <v>8779.5499999999993</v>
      </c>
    </row>
    <row r="11" spans="1:4" ht="16.5" x14ac:dyDescent="0.35">
      <c r="A11" s="8" t="s">
        <v>42</v>
      </c>
      <c r="B11" s="8" t="s">
        <v>43</v>
      </c>
      <c r="C11" s="9">
        <f>IF(C210="","",IF(样本池!$E$6="原币",C210,IF(ISNUMBER(C210),C210*1,C210)))</f>
        <v>1698.174</v>
      </c>
      <c r="D11" s="9">
        <f>IF(D210="","",IF(样本池!$E$6="原币",D210,IF(ISNUMBER(D210),D210*1,D210)))</f>
        <v>1438.444</v>
      </c>
    </row>
    <row r="12" spans="1:4" ht="16.5" x14ac:dyDescent="0.35">
      <c r="A12" s="8" t="s">
        <v>42</v>
      </c>
      <c r="B12" s="8" t="s">
        <v>44</v>
      </c>
      <c r="C12" s="9">
        <f>IF(C211="","",IF(样本池!$E$6="原币",C211,IF(ISNUMBER(C211),C211*1,C211)))</f>
        <v>1922.039</v>
      </c>
      <c r="D12" s="9">
        <f>IF(D211="","",IF(样本池!$E$6="原币",D211,IF(ISNUMBER(D211),D211*1,D211)))</f>
        <v>947.971</v>
      </c>
    </row>
    <row r="13" spans="1:4" ht="16.5" x14ac:dyDescent="0.35">
      <c r="A13" s="8" t="s">
        <v>42</v>
      </c>
      <c r="B13" s="8" t="s">
        <v>45</v>
      </c>
      <c r="C13" s="9">
        <f>IF(C212="","",IF(样本池!$E$6="原币",C212,IF(ISNUMBER(C212),C212*1,C212)))</f>
        <v>4013.7620000000002</v>
      </c>
      <c r="D13" s="9">
        <f>IF(D212="","",IF(样本池!$E$6="原币",D212,IF(ISNUMBER(D212),D212*1,D212)))</f>
        <v>2675.779</v>
      </c>
    </row>
    <row r="14" spans="1:4" ht="16.5" x14ac:dyDescent="0.35">
      <c r="A14" s="8" t="s">
        <v>46</v>
      </c>
      <c r="B14" s="8" t="s">
        <v>47</v>
      </c>
      <c r="C14" s="9">
        <f>IF(C213="","",IF(样本池!$E$6="原币",C213,IF(ISNUMBER(C213),C213*1,C213)))</f>
        <v>2968.5410000000002</v>
      </c>
      <c r="D14" s="9">
        <f>IF(D213="","",IF(样本池!$E$6="原币",D213,IF(ISNUMBER(D213),D213*1,D213)))</f>
        <v>2994.4580000000001</v>
      </c>
    </row>
    <row r="15" spans="1:4" ht="16.5" x14ac:dyDescent="0.35">
      <c r="A15" s="8" t="s">
        <v>46</v>
      </c>
      <c r="B15" s="8" t="s">
        <v>48</v>
      </c>
      <c r="C15" s="9">
        <f>IF(C214="","",IF(样本池!$E$6="原币",C214,IF(ISNUMBER(C214),C214*1,C214)))</f>
        <v>2968.5410000000002</v>
      </c>
      <c r="D15" s="9">
        <f>IF(D214="","",IF(样本池!$E$6="原币",D214,IF(ISNUMBER(D214),D214*1,D214)))</f>
        <v>2994.4580000000001</v>
      </c>
    </row>
    <row r="16" spans="1:4" ht="16.5" x14ac:dyDescent="0.35">
      <c r="A16" s="8" t="s">
        <v>55</v>
      </c>
      <c r="B16" s="8" t="s">
        <v>49</v>
      </c>
      <c r="C16" s="9">
        <f>IF(C215="","",IF(样本池!$E$6="原币",C215,IF(ISNUMBER(C215),C215*1,C215)))</f>
        <v>6982.3029999999999</v>
      </c>
      <c r="D16" s="9">
        <f>IF(D215="","",IF(样本池!$E$6="原币",D215,IF(ISNUMBER(D215),D215*1,D215)))</f>
        <v>5670.2370000000001</v>
      </c>
    </row>
    <row r="17" spans="1:4" ht="16.5" x14ac:dyDescent="0.35">
      <c r="A17" s="8" t="s">
        <v>130</v>
      </c>
      <c r="B17" s="8" t="s">
        <v>122</v>
      </c>
      <c r="C17" s="9">
        <f>IF(C216="","",IF(样本池!$E$6="原币",C216,IF(ISNUMBER(C216),C216*1,C216)))</f>
        <v>20.233000000000001</v>
      </c>
      <c r="D17" s="9">
        <f>IF(D216="","",IF(样本池!$E$6="原币",D216,IF(ISNUMBER(D216),D216*1,D216)))</f>
        <v>29.792000000000002</v>
      </c>
    </row>
    <row r="18" spans="1:4" ht="16.5" x14ac:dyDescent="0.35">
      <c r="A18" s="8" t="s">
        <v>130</v>
      </c>
      <c r="B18" s="8" t="s">
        <v>123</v>
      </c>
      <c r="C18" s="9">
        <f>IF(C217="","",IF(样本池!$E$6="原币",C217,IF(ISNUMBER(C217),C217*1,C217)))</f>
        <v>3152.6579999999999</v>
      </c>
      <c r="D18" s="9">
        <f>IF(D217="","",IF(样本池!$E$6="原币",D217,IF(ISNUMBER(D217),D217*1,D217)))</f>
        <v>3109.3130000000001</v>
      </c>
    </row>
    <row r="19" spans="1:4" ht="16.5" x14ac:dyDescent="0.35">
      <c r="A19" s="8" t="s">
        <v>130</v>
      </c>
      <c r="B19" s="8" t="s">
        <v>50</v>
      </c>
      <c r="C19" s="9">
        <f>IF(C218="","",IF(样本池!$E$6="原币",C218,IF(ISNUMBER(C218),C218*1,C218)))</f>
        <v>3152.6579999999999</v>
      </c>
      <c r="D19" s="9">
        <f>IF(D218="","",IF(样本池!$E$6="原币",D218,IF(ISNUMBER(D218),D218*1,D218)))</f>
        <v>3109.3130000000001</v>
      </c>
    </row>
    <row r="20" spans="1:4" ht="16.5" x14ac:dyDescent="0.35">
      <c r="A20" s="8" t="s">
        <v>131</v>
      </c>
      <c r="B20" s="8" t="s">
        <v>51</v>
      </c>
      <c r="C20" s="9">
        <f>IF(C219="","",IF(样本池!$E$6="原币",C219,IF(ISNUMBER(C219),C219*1,C219)))</f>
        <v>10134.960999999999</v>
      </c>
      <c r="D20" s="9">
        <f>IF(D219="","",IF(样本池!$E$6="原币",D219,IF(ISNUMBER(D219),D219*1,D219)))</f>
        <v>8779.5499999999993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2123.1930000000002</v>
      </c>
      <c r="D202">
        <v>1594.4169999999999</v>
      </c>
    </row>
    <row r="203" spans="3:4" ht="13.5" hidden="1" customHeight="1" x14ac:dyDescent="0.15">
      <c r="C203">
        <v>2717.2190000000001</v>
      </c>
      <c r="D203">
        <v>2664.3150000000001</v>
      </c>
    </row>
    <row r="204" spans="3:4" ht="13.5" hidden="1" customHeight="1" x14ac:dyDescent="0.15">
      <c r="C204">
        <v>296.96899999999999</v>
      </c>
      <c r="D204">
        <v>183.15700000000001</v>
      </c>
    </row>
    <row r="205" spans="3:4" ht="13.5" hidden="1" customHeight="1" x14ac:dyDescent="0.15">
      <c r="C205">
        <v>5997.3819999999996</v>
      </c>
      <c r="D205">
        <v>4768.5200000000004</v>
      </c>
    </row>
    <row r="206" spans="3:4" ht="13.5" hidden="1" customHeight="1" x14ac:dyDescent="0.15">
      <c r="C206">
        <v>3582.364</v>
      </c>
      <c r="D206">
        <v>3497.9430000000002</v>
      </c>
    </row>
    <row r="207" spans="3:4" ht="13.5" hidden="1" customHeight="1" x14ac:dyDescent="0.15">
      <c r="C207">
        <v>1627.44</v>
      </c>
      <c r="D207">
        <v>1445.386</v>
      </c>
    </row>
    <row r="208" spans="3:4" ht="13.5" hidden="1" customHeight="1" x14ac:dyDescent="0.15">
      <c r="C208">
        <v>4137.5789999999997</v>
      </c>
      <c r="D208">
        <v>4011.03</v>
      </c>
    </row>
    <row r="209" spans="3:4" ht="13.5" hidden="1" customHeight="1" x14ac:dyDescent="0.15">
      <c r="C209">
        <v>10134.960999999999</v>
      </c>
      <c r="D209">
        <v>8779.5499999999993</v>
      </c>
    </row>
    <row r="210" spans="3:4" ht="13.5" hidden="1" customHeight="1" x14ac:dyDescent="0.15">
      <c r="C210">
        <v>1698.174</v>
      </c>
      <c r="D210">
        <v>1438.444</v>
      </c>
    </row>
    <row r="211" spans="3:4" ht="13.5" hidden="1" customHeight="1" x14ac:dyDescent="0.15">
      <c r="C211">
        <v>1922.039</v>
      </c>
      <c r="D211">
        <v>947.971</v>
      </c>
    </row>
    <row r="212" spans="3:4" ht="13.5" hidden="1" customHeight="1" x14ac:dyDescent="0.15">
      <c r="C212">
        <v>4013.7620000000002</v>
      </c>
      <c r="D212">
        <v>2675.779</v>
      </c>
    </row>
    <row r="213" spans="3:4" ht="13.5" hidden="1" customHeight="1" x14ac:dyDescent="0.15">
      <c r="C213">
        <v>2968.5410000000002</v>
      </c>
      <c r="D213">
        <v>2994.4580000000001</v>
      </c>
    </row>
    <row r="214" spans="3:4" ht="13.5" hidden="1" customHeight="1" x14ac:dyDescent="0.15">
      <c r="C214">
        <v>2968.5410000000002</v>
      </c>
      <c r="D214">
        <v>2994.4580000000001</v>
      </c>
    </row>
    <row r="215" spans="3:4" ht="13.5" hidden="1" customHeight="1" x14ac:dyDescent="0.15">
      <c r="C215">
        <v>6982.3029999999999</v>
      </c>
      <c r="D215">
        <v>5670.2370000000001</v>
      </c>
    </row>
    <row r="216" spans="3:4" ht="13.5" hidden="1" customHeight="1" x14ac:dyDescent="0.15">
      <c r="C216">
        <v>20.233000000000001</v>
      </c>
      <c r="D216">
        <v>29.792000000000002</v>
      </c>
    </row>
    <row r="217" spans="3:4" ht="13.5" hidden="1" customHeight="1" x14ac:dyDescent="0.15">
      <c r="C217">
        <v>3152.6579999999999</v>
      </c>
      <c r="D217">
        <v>3109.3130000000001</v>
      </c>
    </row>
    <row r="218" spans="3:4" ht="13.5" hidden="1" customHeight="1" x14ac:dyDescent="0.15">
      <c r="C218">
        <v>3152.6579999999999</v>
      </c>
      <c r="D218">
        <v>3109.3130000000001</v>
      </c>
    </row>
    <row r="219" spans="3:4" ht="13.5" hidden="1" customHeight="1" x14ac:dyDescent="0.15">
      <c r="C219">
        <v>10134.960999999999</v>
      </c>
      <c r="D219">
        <v>8779.5499999999993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548235"/>
  </sheetPr>
  <dimension ref="A1:D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528</v>
      </c>
      <c r="B1" s="5" t="s">
        <v>14</v>
      </c>
      <c r="C1" s="190" t="s">
        <v>516</v>
      </c>
      <c r="D1" s="191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56</v>
      </c>
      <c r="B3" s="8" t="s">
        <v>56</v>
      </c>
      <c r="C3" s="9">
        <f>IF(C202="","",IF(样本池!$E$6="原币",C202,IF(ISNUMBER(C202),C202*1,C202)))</f>
        <v>13698.737999999999</v>
      </c>
      <c r="D3" s="9">
        <f>IF(D202="","",IF(样本池!$E$6="原币",D202,IF(ISNUMBER(D202),D202*1,D202)))</f>
        <v>10709.647999999999</v>
      </c>
    </row>
    <row r="4" spans="1:4" ht="16.5" x14ac:dyDescent="0.35">
      <c r="A4" s="8" t="s">
        <v>56</v>
      </c>
      <c r="B4" s="8" t="s">
        <v>57</v>
      </c>
      <c r="C4" s="9">
        <f>IF(C203="","",IF(样本池!$E$6="原币",C203,IF(ISNUMBER(C203),C203*1,C203)))</f>
        <v>264.36</v>
      </c>
      <c r="D4" s="9">
        <f>IF(D203="","",IF(样本池!$E$6="原币",D203,IF(ISNUMBER(D203),D203*1,D203)))</f>
        <v>122.455</v>
      </c>
    </row>
    <row r="5" spans="1:4" ht="16.5" x14ac:dyDescent="0.35">
      <c r="A5" s="8" t="s">
        <v>132</v>
      </c>
      <c r="B5" s="8" t="s">
        <v>58</v>
      </c>
      <c r="C5" s="9">
        <f>IF(C204="","",IF(样本池!$E$6="原币",C204,IF(ISNUMBER(C204),C204*1,C204)))</f>
        <v>3608.17</v>
      </c>
      <c r="D5" s="9">
        <f>IF(D204="","",IF(样本池!$E$6="原币",D204,IF(ISNUMBER(D204),D204*1,D204)))</f>
        <v>3297.13</v>
      </c>
    </row>
    <row r="6" spans="1:4" ht="16.5" x14ac:dyDescent="0.35">
      <c r="A6" s="8" t="s">
        <v>59</v>
      </c>
      <c r="B6" s="8" t="s">
        <v>60</v>
      </c>
      <c r="C6" s="9">
        <f>IF(C205="","",IF(样本池!$E$6="原币",C205,IF(ISNUMBER(C205),C205*1,C205)))</f>
        <v>182.12700000000001</v>
      </c>
      <c r="D6" s="9">
        <f>IF(D205="","",IF(样本池!$E$6="原币",D205,IF(ISNUMBER(D205),D205*1,D205)))</f>
        <v>130.01599999999999</v>
      </c>
    </row>
    <row r="7" spans="1:4" ht="16.5" x14ac:dyDescent="0.35">
      <c r="A7" s="8" t="s">
        <v>59</v>
      </c>
      <c r="B7" s="8" t="s">
        <v>124</v>
      </c>
      <c r="C7" s="9">
        <f>IF(C206="","",IF(样本池!$E$6="原币",C206,IF(ISNUMBER(C206),C206*1,C206)))</f>
        <v>2513.0970000000002</v>
      </c>
      <c r="D7" s="9">
        <f>IF(D206="","",IF(样本池!$E$6="原币",D206,IF(ISNUMBER(D206),D206*1,D206)))</f>
        <v>2071.846</v>
      </c>
    </row>
    <row r="8" spans="1:4" ht="16.5" x14ac:dyDescent="0.35">
      <c r="A8" s="8" t="s">
        <v>59</v>
      </c>
      <c r="B8" s="8" t="s">
        <v>125</v>
      </c>
      <c r="C8" s="9">
        <f>IF(C207="","",IF(样本池!$E$6="原币",C207,IF(ISNUMBER(C207),C207*1,C207)))</f>
        <v>487.92899999999997</v>
      </c>
      <c r="D8" s="9">
        <f>IF(D207="","",IF(样本池!$E$6="原币",D207,IF(ISNUMBER(D207),D207*1,D207)))</f>
        <v>432.65100000000001</v>
      </c>
    </row>
    <row r="9" spans="1:4" ht="16.5" x14ac:dyDescent="0.35">
      <c r="A9" s="8" t="s">
        <v>59</v>
      </c>
      <c r="B9" s="8" t="s">
        <v>62</v>
      </c>
      <c r="C9" s="9">
        <f>IF(C208="","",IF(样本池!$E$6="原币",C208,IF(ISNUMBER(C208),C208*1,C208)))</f>
        <v>3202.1529999999998</v>
      </c>
      <c r="D9" s="9">
        <f>IF(D208="","",IF(样本池!$E$6="原币",D208,IF(ISNUMBER(D208),D208*1,D208)))</f>
        <v>2650.4459999999999</v>
      </c>
    </row>
    <row r="10" spans="1:4" ht="16.5" x14ac:dyDescent="0.35">
      <c r="A10" s="8" t="s">
        <v>132</v>
      </c>
      <c r="B10" s="8" t="s">
        <v>63</v>
      </c>
      <c r="C10" s="9">
        <f>IF(C209="","",IF(样本池!$E$6="原币",C209,IF(ISNUMBER(C209),C209*1,C209)))</f>
        <v>183.971</v>
      </c>
      <c r="D10" s="9">
        <f>IF(D209="","",IF(样本池!$E$6="原币",D209,IF(ISNUMBER(D209),D209*1,D209)))</f>
        <v>628.56200000000001</v>
      </c>
    </row>
    <row r="11" spans="1:4" ht="16.5" x14ac:dyDescent="0.35">
      <c r="A11" s="8" t="s">
        <v>132</v>
      </c>
      <c r="B11" s="8" t="s">
        <v>64</v>
      </c>
      <c r="C11" s="9">
        <f>IF(C210="","",IF(样本池!$E$6="原币",C210,IF(ISNUMBER(C210),C210*1,C210)))</f>
        <v>189.34</v>
      </c>
      <c r="D11" s="9">
        <f>IF(D210="","",IF(样本池!$E$6="原币",D210,IF(ISNUMBER(D210),D210*1,D210)))</f>
        <v>630.64300000000003</v>
      </c>
    </row>
    <row r="12" spans="1:4" ht="16.5" x14ac:dyDescent="0.35">
      <c r="A12" s="8" t="s">
        <v>134</v>
      </c>
      <c r="B12" s="8" t="s">
        <v>65</v>
      </c>
      <c r="C12" s="9">
        <f>IF(C211="","",IF(样本池!$E$6="原币",C211,IF(ISNUMBER(C211),C211*1,C211)))</f>
        <v>36.753999999999998</v>
      </c>
      <c r="D12" s="9">
        <f>IF(D211="","",IF(样本池!$E$6="原币",D211,IF(ISNUMBER(D211),D211*1,D211)))</f>
        <v>109.447</v>
      </c>
    </row>
    <row r="13" spans="1:4" ht="16.5" x14ac:dyDescent="0.35">
      <c r="A13" s="8" t="s">
        <v>132</v>
      </c>
      <c r="B13" s="8" t="s">
        <v>66</v>
      </c>
      <c r="C13" s="9">
        <f>IF(C212="","",IF(样本池!$E$6="原币",C212,IF(ISNUMBER(C212),C212*1,C212)))</f>
        <v>161.13900000000001</v>
      </c>
      <c r="D13" s="9">
        <f>IF(D212="","",IF(样本池!$E$6="原币",D212,IF(ISNUMBER(D212),D212*1,D212)))</f>
        <v>504.29899999999998</v>
      </c>
    </row>
    <row r="14" spans="1:4" ht="16.5" x14ac:dyDescent="0.35">
      <c r="A14" s="8" t="s">
        <v>135</v>
      </c>
      <c r="B14" s="8" t="s">
        <v>126</v>
      </c>
      <c r="C14" s="9">
        <f>IF(C213="","",IF(样本池!$E$6="原币",C213,IF(ISNUMBER(C213),C213*1,C213)))</f>
        <v>3.909801455394843E-7</v>
      </c>
      <c r="D14" s="9">
        <f>IF(D213="","",IF(样本池!$E$6="原币",D213,IF(ISNUMBER(D213),D213*1,D213)))</f>
        <v>1.2939351198871652E-6</v>
      </c>
    </row>
    <row r="15" spans="1:4" ht="16.5" x14ac:dyDescent="0.35">
      <c r="A15" s="8" t="s">
        <v>135</v>
      </c>
      <c r="B15" s="8" t="s">
        <v>127</v>
      </c>
      <c r="C15" s="9">
        <f>IF(C214="","",IF(样本池!$E$6="原币",C214,IF(ISNUMBER(C214),C214*1,C214)))</f>
        <v>3.909801455394843E-7</v>
      </c>
      <c r="D15" s="9">
        <f>IF(D214="","",IF(样本池!$E$6="原币",D214,IF(ISNUMBER(D214),D214*1,D214)))</f>
        <v>1.2939351198871652E-6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13698.737999999999</v>
      </c>
      <c r="D202">
        <v>10709.647999999999</v>
      </c>
    </row>
    <row r="203" spans="3:4" ht="13.5" hidden="1" customHeight="1" x14ac:dyDescent="0.15">
      <c r="C203">
        <v>264.36</v>
      </c>
      <c r="D203">
        <v>122.455</v>
      </c>
    </row>
    <row r="204" spans="3:4" ht="13.5" hidden="1" customHeight="1" x14ac:dyDescent="0.15">
      <c r="C204">
        <v>3608.17</v>
      </c>
      <c r="D204">
        <v>3297.13</v>
      </c>
    </row>
    <row r="205" spans="3:4" ht="13.5" hidden="1" customHeight="1" x14ac:dyDescent="0.15">
      <c r="C205">
        <v>182.12700000000001</v>
      </c>
      <c r="D205">
        <v>130.01599999999999</v>
      </c>
    </row>
    <row r="206" spans="3:4" ht="13.5" hidden="1" customHeight="1" x14ac:dyDescent="0.15">
      <c r="C206">
        <v>2513.0970000000002</v>
      </c>
      <c r="D206">
        <v>2071.846</v>
      </c>
    </row>
    <row r="207" spans="3:4" ht="13.5" hidden="1" customHeight="1" x14ac:dyDescent="0.15">
      <c r="C207">
        <v>487.92899999999997</v>
      </c>
      <c r="D207">
        <v>432.65100000000001</v>
      </c>
    </row>
    <row r="208" spans="3:4" ht="13.5" hidden="1" customHeight="1" x14ac:dyDescent="0.15">
      <c r="C208">
        <v>3202.1529999999998</v>
      </c>
      <c r="D208">
        <v>2650.4459999999999</v>
      </c>
    </row>
    <row r="209" spans="3:4" ht="13.5" hidden="1" customHeight="1" x14ac:dyDescent="0.15">
      <c r="C209">
        <v>183.971</v>
      </c>
      <c r="D209">
        <v>628.56200000000001</v>
      </c>
    </row>
    <row r="210" spans="3:4" ht="13.5" hidden="1" customHeight="1" x14ac:dyDescent="0.15">
      <c r="C210">
        <v>189.34</v>
      </c>
      <c r="D210">
        <v>630.64300000000003</v>
      </c>
    </row>
    <row r="211" spans="3:4" ht="13.5" hidden="1" customHeight="1" x14ac:dyDescent="0.15">
      <c r="C211">
        <v>36.753999999999998</v>
      </c>
      <c r="D211">
        <v>109.447</v>
      </c>
    </row>
    <row r="212" spans="3:4" ht="13.5" hidden="1" customHeight="1" x14ac:dyDescent="0.15">
      <c r="C212">
        <v>161.13900000000001</v>
      </c>
      <c r="D212">
        <v>504.29899999999998</v>
      </c>
    </row>
    <row r="213" spans="3:4" ht="13.5" hidden="1" customHeight="1" x14ac:dyDescent="0.15">
      <c r="C213">
        <v>3.909801455394843E-7</v>
      </c>
      <c r="D213">
        <v>1.2939351198871652E-6</v>
      </c>
    </row>
    <row r="214" spans="3:4" ht="13.5" hidden="1" customHeight="1" x14ac:dyDescent="0.15">
      <c r="C214">
        <v>3.909801455394843E-7</v>
      </c>
      <c r="D214">
        <v>1.2939351198871652E-6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548235"/>
  </sheetPr>
  <dimension ref="A1:C2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spans="1:3" ht="21.95" customHeight="1" x14ac:dyDescent="0.15">
      <c r="A1" s="5" t="s">
        <v>528</v>
      </c>
      <c r="B1" s="5" t="s">
        <v>14</v>
      </c>
      <c r="C1" s="5" t="s">
        <v>516</v>
      </c>
    </row>
    <row r="2" spans="1:3" ht="20.100000000000001" customHeight="1" x14ac:dyDescent="0.35">
      <c r="A2" s="6"/>
      <c r="B2" s="6"/>
      <c r="C2" s="7">
        <v>46022</v>
      </c>
    </row>
    <row r="3" spans="1:3" ht="16.5" x14ac:dyDescent="0.35">
      <c r="A3" s="8" t="s">
        <v>136</v>
      </c>
      <c r="B3" s="8" t="s">
        <v>71</v>
      </c>
      <c r="C3" s="9">
        <f>IF(C202="","",IF(样本池!$E$6="原币",C202,IF(ISNUMBER(C202),C202*1,C202)))</f>
        <v>630.87599999999998</v>
      </c>
    </row>
    <row r="4" spans="1:3" ht="16.5" x14ac:dyDescent="0.35">
      <c r="A4" s="8" t="s">
        <v>136</v>
      </c>
      <c r="B4" s="8" t="s">
        <v>69</v>
      </c>
      <c r="C4" s="9">
        <f>IF(C203="","",IF(样本池!$E$6="原币",C203,IF(ISNUMBER(C203),C203*1,C203)))</f>
        <v>472.83199999999999</v>
      </c>
    </row>
    <row r="5" spans="1:3" ht="16.5" x14ac:dyDescent="0.35">
      <c r="A5" s="8" t="s">
        <v>139</v>
      </c>
      <c r="B5" s="8" t="s">
        <v>73</v>
      </c>
      <c r="C5" s="9">
        <f>IF(C204="","",IF(样本池!$E$6="原币",C204,IF(ISNUMBER(C204),C204*1,C204)))</f>
        <v>-611.79999999999995</v>
      </c>
    </row>
    <row r="6" spans="1:3" ht="16.5" x14ac:dyDescent="0.35">
      <c r="A6" s="8" t="s">
        <v>139</v>
      </c>
      <c r="B6" s="8" t="s">
        <v>72</v>
      </c>
      <c r="C6" s="9">
        <f>IF(C205="","",IF(样本池!$E$6="原币",C205,IF(ISNUMBER(C205),C205*1,C205)))</f>
        <v>0</v>
      </c>
    </row>
    <row r="7" spans="1:3" ht="16.5" x14ac:dyDescent="0.35">
      <c r="A7" s="8" t="s">
        <v>140</v>
      </c>
      <c r="B7" s="8" t="s">
        <v>75</v>
      </c>
      <c r="C7" s="9">
        <f>IF(C206="","",IF(样本池!$E$6="原币",C206,IF(ISNUMBER(C206),C206*1,C206)))</f>
        <v>226.89699999999999</v>
      </c>
    </row>
    <row r="8" spans="1:3" ht="16.5" x14ac:dyDescent="0.35">
      <c r="A8" s="8" t="s">
        <v>140</v>
      </c>
      <c r="B8" s="8" t="s">
        <v>74</v>
      </c>
      <c r="C8" s="9">
        <f>IF(C207="","",IF(样本池!$E$6="原币",C207,IF(ISNUMBER(C207),C207*1,C207)))</f>
        <v>-103.801</v>
      </c>
    </row>
    <row r="9" spans="1:3" ht="16.5" x14ac:dyDescent="0.35">
      <c r="A9" s="8" t="s">
        <v>140</v>
      </c>
      <c r="B9" s="8" t="s">
        <v>128</v>
      </c>
      <c r="C9" s="9">
        <f>IF(C208="","",IF(样本池!$E$6="原币",C208,IF(ISNUMBER(C208),C208*1,C208)))</f>
        <v>-264.36</v>
      </c>
    </row>
    <row r="10" spans="1:3" ht="16.5" x14ac:dyDescent="0.35">
      <c r="A10" s="8" t="s">
        <v>136</v>
      </c>
      <c r="B10" s="8" t="s">
        <v>129</v>
      </c>
      <c r="C10" s="9">
        <f>IF(C209="","",IF(样本池!$E$6="原币",C209,IF(ISNUMBER(C209),C209*1,C209)))</f>
        <v>36.07</v>
      </c>
    </row>
    <row r="11" spans="1:3" ht="16.5" x14ac:dyDescent="0.35">
      <c r="A11" s="8" t="s">
        <v>141</v>
      </c>
      <c r="B11" s="8" t="s">
        <v>79</v>
      </c>
      <c r="C11" s="9">
        <f>IF(C210="","",IF(样本池!$E$6="原币",C210,IF(ISNUMBER(C210),C210*1,C210)))</f>
        <v>3.4009999999999998</v>
      </c>
    </row>
    <row r="12" spans="1:3" ht="16.5" x14ac:dyDescent="0.35">
      <c r="A12" s="8" t="s">
        <v>141</v>
      </c>
      <c r="B12" s="8" t="s">
        <v>80</v>
      </c>
      <c r="C12" s="9">
        <f>IF(C211="","",IF(样本池!$E$6="原币",C211,IF(ISNUMBER(C211),C211*1,C211)))</f>
        <v>1363.752</v>
      </c>
    </row>
    <row r="13" spans="1:3" ht="16.5" x14ac:dyDescent="0.35">
      <c r="A13" s="8" t="s">
        <v>141</v>
      </c>
      <c r="B13" s="8" t="s">
        <v>76</v>
      </c>
      <c r="C13" s="9">
        <f>IF(C212="","",IF(样本池!$E$6="原币",C212,IF(ISNUMBER(C212),C212*1,C212)))</f>
        <v>1613.126</v>
      </c>
    </row>
    <row r="200" spans="3:3" ht="13.5" hidden="1" customHeight="1" x14ac:dyDescent="0.15"/>
    <row r="201" spans="3:3" ht="13.5" hidden="1" customHeight="1" x14ac:dyDescent="0.15"/>
    <row r="202" spans="3:3" ht="13.5" hidden="1" customHeight="1" x14ac:dyDescent="0.15">
      <c r="C202">
        <v>630.87599999999998</v>
      </c>
    </row>
    <row r="203" spans="3:3" ht="13.5" hidden="1" customHeight="1" x14ac:dyDescent="0.15">
      <c r="C203">
        <v>472.83199999999999</v>
      </c>
    </row>
    <row r="204" spans="3:3" ht="13.5" hidden="1" customHeight="1" x14ac:dyDescent="0.15">
      <c r="C204">
        <v>-611.79999999999995</v>
      </c>
    </row>
    <row r="205" spans="3:3" ht="13.5" hidden="1" customHeight="1" x14ac:dyDescent="0.15">
      <c r="C205">
        <v>0</v>
      </c>
    </row>
    <row r="206" spans="3:3" ht="13.5" hidden="1" customHeight="1" x14ac:dyDescent="0.15">
      <c r="C206">
        <v>226.89699999999999</v>
      </c>
    </row>
    <row r="207" spans="3:3" ht="13.5" hidden="1" customHeight="1" x14ac:dyDescent="0.15">
      <c r="C207">
        <v>-103.801</v>
      </c>
    </row>
    <row r="208" spans="3:3" ht="13.5" hidden="1" customHeight="1" x14ac:dyDescent="0.15">
      <c r="C208">
        <v>-264.36</v>
      </c>
    </row>
    <row r="209" spans="3:3" ht="13.5" hidden="1" customHeight="1" x14ac:dyDescent="0.15">
      <c r="C209">
        <v>36.07</v>
      </c>
    </row>
    <row r="210" spans="3:3" ht="13.5" hidden="1" customHeight="1" x14ac:dyDescent="0.15">
      <c r="C210">
        <v>3.4009999999999998</v>
      </c>
    </row>
    <row r="211" spans="3:3" ht="13.5" hidden="1" customHeight="1" x14ac:dyDescent="0.15">
      <c r="C211">
        <v>1363.752</v>
      </c>
    </row>
    <row r="212" spans="3:3" ht="13.5" hidden="1" customHeight="1" x14ac:dyDescent="0.15">
      <c r="C212">
        <v>1613.126</v>
      </c>
    </row>
  </sheetData>
  <phoneticPr fontId="7" type="noConversion"/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548235"/>
  </sheetPr>
  <dimension ref="A1:D2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spans="1:4" ht="21.95" customHeight="1" x14ac:dyDescent="0.15">
      <c r="A1" s="5" t="s">
        <v>15</v>
      </c>
      <c r="B1" s="5" t="s">
        <v>14</v>
      </c>
      <c r="C1" s="5" t="s">
        <v>16</v>
      </c>
      <c r="D1" s="5" t="s">
        <v>516</v>
      </c>
    </row>
    <row r="2" spans="1:4" ht="20.100000000000001" customHeight="1" x14ac:dyDescent="0.15">
      <c r="A2" s="6"/>
      <c r="B2" s="6"/>
      <c r="C2" s="6"/>
      <c r="D2" s="13">
        <v>46022</v>
      </c>
    </row>
    <row r="3" spans="1:4" ht="16.5" x14ac:dyDescent="0.35">
      <c r="A3" s="8" t="s">
        <v>81</v>
      </c>
      <c r="B3" s="8" t="s">
        <v>82</v>
      </c>
      <c r="C3" s="8" t="s">
        <v>83</v>
      </c>
      <c r="D3" s="14">
        <f>IFERROR((港股_利润表!C13)/(港股_利润表!C3),"")</f>
        <v>1.1763054377709831E-2</v>
      </c>
    </row>
    <row r="4" spans="1:4" ht="16.5" x14ac:dyDescent="0.35">
      <c r="A4" s="8" t="s">
        <v>81</v>
      </c>
      <c r="B4" s="8" t="s">
        <v>84</v>
      </c>
      <c r="C4" s="8" t="s">
        <v>85</v>
      </c>
      <c r="D4" s="14">
        <f>IFERROR((港股_利润表!C5)/(港股_利润表!C3),"")</f>
        <v>0.26339433603299811</v>
      </c>
    </row>
    <row r="5" spans="1:4" ht="16.5" x14ac:dyDescent="0.35">
      <c r="A5" s="8" t="s">
        <v>81</v>
      </c>
      <c r="B5" s="8" t="s">
        <v>86</v>
      </c>
      <c r="C5" s="8" t="s">
        <v>87</v>
      </c>
      <c r="D5" s="14">
        <f>IFERROR((港股_利润表!C9)/(港股_利润表!C3),"")</f>
        <v>0.23375532841054408</v>
      </c>
    </row>
    <row r="6" spans="1:4" ht="16.5" x14ac:dyDescent="0.35">
      <c r="A6" s="8" t="s">
        <v>81</v>
      </c>
      <c r="B6" s="8" t="s">
        <v>88</v>
      </c>
      <c r="C6" s="8" t="s">
        <v>89</v>
      </c>
      <c r="D6" s="14">
        <f>IFERROR((港股_利润表!C13)/(AVERAGE(港股_资产负债表!C10,港股_资产负债表!D10)),"")</f>
        <v>1.7038664124068556E-2</v>
      </c>
    </row>
    <row r="7" spans="1:4" ht="16.5" x14ac:dyDescent="0.35">
      <c r="A7" s="8" t="s">
        <v>81</v>
      </c>
      <c r="B7" s="8" t="s">
        <v>90</v>
      </c>
      <c r="C7" s="8" t="s">
        <v>91</v>
      </c>
      <c r="D7" s="14">
        <f>IFERROR((港股_利润表!C13)/(AVERAGE(港股_资产负债表!C19,港股_资产负债表!D19)),"")</f>
        <v>5.1465904265605836E-2</v>
      </c>
    </row>
    <row r="8" spans="1:4" ht="16.5" x14ac:dyDescent="0.35">
      <c r="A8" s="8" t="s">
        <v>92</v>
      </c>
      <c r="B8" s="8" t="s">
        <v>93</v>
      </c>
      <c r="C8" s="8" t="s">
        <v>94</v>
      </c>
      <c r="D8" s="14">
        <f>IFERROR((港股_资产负债表!C10)/(港股_资产负债表!D10)-1,"")</f>
        <v>0.15438274171227451</v>
      </c>
    </row>
    <row r="9" spans="1:4" ht="16.5" x14ac:dyDescent="0.35">
      <c r="A9" s="8" t="s">
        <v>92</v>
      </c>
      <c r="B9" s="8" t="s">
        <v>95</v>
      </c>
      <c r="C9" s="8" t="s">
        <v>96</v>
      </c>
      <c r="D9" s="14">
        <f>IFERROR((港股_利润表!C3)/(港股_利润表!D3)-1,"")</f>
        <v>0.27910254379975896</v>
      </c>
    </row>
    <row r="10" spans="1:4" ht="16.5" x14ac:dyDescent="0.35">
      <c r="A10" s="8" t="s">
        <v>92</v>
      </c>
      <c r="B10" s="8" t="s">
        <v>97</v>
      </c>
      <c r="C10" s="8" t="s">
        <v>98</v>
      </c>
      <c r="D10" s="14">
        <f>IFERROR((港股_利润表!C13)/(港股_利润表!D13)-1,"")</f>
        <v>-0.68046932474583532</v>
      </c>
    </row>
    <row r="11" spans="1:4" ht="16.5" x14ac:dyDescent="0.35">
      <c r="A11" s="8" t="s">
        <v>99</v>
      </c>
      <c r="B11" s="8" t="s">
        <v>100</v>
      </c>
      <c r="C11" s="8" t="s">
        <v>101</v>
      </c>
      <c r="D11" s="15">
        <f>IFERROR((港股_资产负债表!C6)/(港股_资产负债表!C13),"")</f>
        <v>1.4942046887682925</v>
      </c>
    </row>
    <row r="12" spans="1:4" ht="16.5" x14ac:dyDescent="0.35">
      <c r="A12" s="8" t="s">
        <v>99</v>
      </c>
      <c r="B12" s="8" t="s">
        <v>102</v>
      </c>
      <c r="C12" s="8" t="s">
        <v>103</v>
      </c>
      <c r="D12" s="15">
        <f>IFERROR((港股_资产负债表!C6-港股_资产负债表!C5)/(港股_资产负债表!C13),"")</f>
        <v>1.4202169934340898</v>
      </c>
    </row>
    <row r="13" spans="1:4" ht="16.5" x14ac:dyDescent="0.35">
      <c r="A13" s="8" t="s">
        <v>99</v>
      </c>
      <c r="B13" s="8" t="s">
        <v>104</v>
      </c>
      <c r="C13" s="8" t="s">
        <v>105</v>
      </c>
      <c r="D13" s="15">
        <f>IFERROR((港股_资产负债表!C3)/(港股_资产负债表!C13),"")</f>
        <v>0.52897830015830538</v>
      </c>
    </row>
    <row r="14" spans="1:4" ht="16.5" x14ac:dyDescent="0.35">
      <c r="A14" s="8" t="s">
        <v>99</v>
      </c>
      <c r="B14" s="8" t="s">
        <v>106</v>
      </c>
      <c r="C14" s="8" t="s">
        <v>107</v>
      </c>
      <c r="D14" s="14">
        <f>IFERROR((港股_资产负债表!C16)/(港股_资产负债表!C10),"")</f>
        <v>0.68893239944386564</v>
      </c>
    </row>
    <row r="15" spans="1:4" ht="16.5" x14ac:dyDescent="0.35">
      <c r="A15" s="8" t="s">
        <v>108</v>
      </c>
      <c r="B15" s="8" t="s">
        <v>109</v>
      </c>
      <c r="C15" s="8" t="s">
        <v>110</v>
      </c>
      <c r="D15" s="15">
        <f>IFERROR((AVERAGE(港股_资产负债表!C5,港股_资产负债表!D5)*365)/(港股_利润表!C4),"")</f>
        <v>331.45330231502493</v>
      </c>
    </row>
    <row r="16" spans="1:4" ht="16.5" x14ac:dyDescent="0.35">
      <c r="A16" s="8" t="s">
        <v>108</v>
      </c>
      <c r="B16" s="8" t="s">
        <v>111</v>
      </c>
      <c r="C16" s="8" t="s">
        <v>112</v>
      </c>
      <c r="D16" s="15">
        <f>IFERROR((AVERAGE(港股_资产负债表!C4,港股_资产负债表!D4)*365)/(港股_利润表!C3),"")</f>
        <v>71.694922189182677</v>
      </c>
    </row>
    <row r="17" spans="1:4" ht="16.5" x14ac:dyDescent="0.35">
      <c r="A17" s="8" t="s">
        <v>108</v>
      </c>
      <c r="B17" s="8" t="s">
        <v>113</v>
      </c>
      <c r="C17" s="8" t="s">
        <v>114</v>
      </c>
      <c r="D17" s="15">
        <f>IFERROR((AVERAGE(港股_资产负债表!C11,港股_资产负债表!D11)*365)/(港股_利润表!C4),"")</f>
        <v>2165.3532493569373</v>
      </c>
    </row>
    <row r="18" spans="1:4" ht="16.5" x14ac:dyDescent="0.35">
      <c r="A18" s="8" t="s">
        <v>108</v>
      </c>
      <c r="B18" s="8" t="s">
        <v>115</v>
      </c>
      <c r="C18" s="8" t="s">
        <v>116</v>
      </c>
      <c r="D18" s="15">
        <f>IFERROR(IF(OR(D15="",D16="",D17=""),"",D15+D16-D17),"")</f>
        <v>-1762.2050248527298</v>
      </c>
    </row>
    <row r="19" spans="1:4" ht="16.5" x14ac:dyDescent="0.35">
      <c r="A19" s="8" t="s">
        <v>108</v>
      </c>
      <c r="B19" s="8" t="s">
        <v>117</v>
      </c>
      <c r="C19" s="8" t="s">
        <v>118</v>
      </c>
      <c r="D19" s="15">
        <f>IFERROR((港股_利润表!C3)/(AVERAGE(港股_资产负债表!C6,港股_资产负债表!D6)),"")</f>
        <v>2.544837952268189</v>
      </c>
    </row>
    <row r="20" spans="1:4" ht="16.5" x14ac:dyDescent="0.35">
      <c r="A20" s="8" t="s">
        <v>108</v>
      </c>
      <c r="B20" s="8" t="s">
        <v>119</v>
      </c>
      <c r="C20" s="8" t="s">
        <v>120</v>
      </c>
      <c r="D20" s="15">
        <f>IFERROR((港股_利润表!C3)/(AVERAGE(港股_资产负债表!C10,港股_资产负债表!D10)),"")</f>
        <v>1.4484897864924977</v>
      </c>
    </row>
  </sheetData>
  <phoneticPr fontId="7" type="noConversion"/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8235"/>
  </sheetPr>
  <dimension ref="A1:Q75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92" t="s">
        <v>30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</row>
    <row r="2" spans="1:17" ht="20.100000000000001" customHeight="1" x14ac:dyDescent="0.15">
      <c r="A2" s="2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2" t="s">
        <v>28</v>
      </c>
      <c r="J2" s="3" t="s">
        <v>29</v>
      </c>
      <c r="K2" s="4" t="s">
        <v>32</v>
      </c>
      <c r="L2" s="75" t="s">
        <v>529</v>
      </c>
      <c r="M2" s="75" t="s">
        <v>530</v>
      </c>
      <c r="N2" s="75" t="s">
        <v>531</v>
      </c>
      <c r="O2" s="75" t="s">
        <v>532</v>
      </c>
      <c r="P2" s="75" t="s">
        <v>533</v>
      </c>
      <c r="Q2" s="75" t="s">
        <v>534</v>
      </c>
    </row>
    <row r="3" spans="1:17" ht="14.25" x14ac:dyDescent="0.15">
      <c r="A3" s="10" t="s">
        <v>512</v>
      </c>
      <c r="B3" s="11" t="s">
        <v>52</v>
      </c>
      <c r="C3" s="11" t="s">
        <v>34</v>
      </c>
      <c r="D3" s="11" t="s">
        <v>342</v>
      </c>
      <c r="E3" s="11" t="s">
        <v>343</v>
      </c>
      <c r="F3" s="11" t="s">
        <v>344</v>
      </c>
      <c r="G3" s="11" t="s">
        <v>345</v>
      </c>
      <c r="H3" s="11" t="s">
        <v>346</v>
      </c>
      <c r="I3" s="74">
        <v>100</v>
      </c>
      <c r="J3" s="11" t="s">
        <v>378</v>
      </c>
      <c r="K3" s="12">
        <v>1</v>
      </c>
    </row>
    <row r="4" spans="1:17" ht="14.25" x14ac:dyDescent="0.15">
      <c r="A4" s="10" t="s">
        <v>512</v>
      </c>
      <c r="B4" s="11" t="s">
        <v>52</v>
      </c>
      <c r="C4" s="11" t="s">
        <v>35</v>
      </c>
      <c r="D4" s="11" t="s">
        <v>342</v>
      </c>
      <c r="E4" s="11" t="s">
        <v>343</v>
      </c>
      <c r="F4" s="11" t="s">
        <v>344</v>
      </c>
      <c r="G4" s="11" t="s">
        <v>347</v>
      </c>
      <c r="H4" s="11" t="s">
        <v>346</v>
      </c>
      <c r="I4" s="74">
        <v>100</v>
      </c>
      <c r="J4" s="11" t="s">
        <v>378</v>
      </c>
      <c r="K4" s="12">
        <v>1</v>
      </c>
    </row>
    <row r="5" spans="1:17" ht="14.25" x14ac:dyDescent="0.15">
      <c r="A5" s="10" t="s">
        <v>512</v>
      </c>
      <c r="B5" s="11" t="s">
        <v>52</v>
      </c>
      <c r="C5" s="11" t="s">
        <v>36</v>
      </c>
      <c r="D5" s="11" t="s">
        <v>342</v>
      </c>
      <c r="E5" s="11" t="s">
        <v>343</v>
      </c>
      <c r="F5" s="11" t="s">
        <v>344</v>
      </c>
      <c r="G5" s="11" t="s">
        <v>348</v>
      </c>
      <c r="H5" s="11" t="s">
        <v>346</v>
      </c>
      <c r="I5" s="74">
        <v>100</v>
      </c>
      <c r="J5" s="11" t="s">
        <v>378</v>
      </c>
      <c r="K5" s="12">
        <v>1</v>
      </c>
    </row>
    <row r="6" spans="1:17" ht="14.25" x14ac:dyDescent="0.15">
      <c r="A6" s="10" t="s">
        <v>512</v>
      </c>
      <c r="B6" s="11" t="s">
        <v>52</v>
      </c>
      <c r="C6" s="11" t="s">
        <v>37</v>
      </c>
      <c r="D6" s="11" t="s">
        <v>342</v>
      </c>
      <c r="E6" s="11" t="s">
        <v>343</v>
      </c>
      <c r="F6" s="11" t="s">
        <v>344</v>
      </c>
      <c r="G6" s="11" t="s">
        <v>349</v>
      </c>
      <c r="H6" s="11" t="s">
        <v>346</v>
      </c>
      <c r="I6" s="74">
        <v>100</v>
      </c>
      <c r="J6" s="11" t="s">
        <v>378</v>
      </c>
      <c r="K6" s="12">
        <v>1</v>
      </c>
    </row>
    <row r="7" spans="1:17" ht="14.25" x14ac:dyDescent="0.15">
      <c r="A7" s="10" t="s">
        <v>512</v>
      </c>
      <c r="B7" s="11" t="s">
        <v>52</v>
      </c>
      <c r="C7" s="11" t="s">
        <v>39</v>
      </c>
      <c r="D7" s="11" t="s">
        <v>342</v>
      </c>
      <c r="E7" s="11" t="s">
        <v>343</v>
      </c>
      <c r="F7" s="11" t="s">
        <v>344</v>
      </c>
      <c r="G7" s="11" t="s">
        <v>350</v>
      </c>
      <c r="H7" s="11" t="s">
        <v>346</v>
      </c>
      <c r="I7" s="74">
        <v>100</v>
      </c>
      <c r="J7" s="11" t="s">
        <v>378</v>
      </c>
      <c r="K7" s="12">
        <v>1</v>
      </c>
    </row>
    <row r="8" spans="1:17" ht="14.25" x14ac:dyDescent="0.15">
      <c r="A8" s="10" t="s">
        <v>512</v>
      </c>
      <c r="B8" s="11" t="s">
        <v>52</v>
      </c>
      <c r="C8" s="11" t="s">
        <v>121</v>
      </c>
      <c r="D8" s="11" t="s">
        <v>342</v>
      </c>
      <c r="E8" s="11" t="s">
        <v>343</v>
      </c>
      <c r="F8" s="11" t="s">
        <v>344</v>
      </c>
      <c r="G8" s="11" t="s">
        <v>351</v>
      </c>
      <c r="H8" s="11" t="s">
        <v>346</v>
      </c>
      <c r="I8" s="74">
        <v>100</v>
      </c>
      <c r="J8" s="11" t="s">
        <v>378</v>
      </c>
      <c r="K8" s="12">
        <v>1</v>
      </c>
    </row>
    <row r="9" spans="1:17" ht="14.25" x14ac:dyDescent="0.15">
      <c r="A9" s="10" t="s">
        <v>512</v>
      </c>
      <c r="B9" s="11" t="s">
        <v>52</v>
      </c>
      <c r="C9" s="11" t="s">
        <v>40</v>
      </c>
      <c r="D9" s="11" t="s">
        <v>342</v>
      </c>
      <c r="E9" s="11" t="s">
        <v>343</v>
      </c>
      <c r="F9" s="11" t="s">
        <v>344</v>
      </c>
      <c r="G9" s="11" t="s">
        <v>352</v>
      </c>
      <c r="H9" s="11" t="s">
        <v>346</v>
      </c>
      <c r="I9" s="74">
        <v>100</v>
      </c>
      <c r="J9" s="11" t="s">
        <v>378</v>
      </c>
      <c r="K9" s="12">
        <v>1</v>
      </c>
    </row>
    <row r="10" spans="1:17" ht="14.25" x14ac:dyDescent="0.15">
      <c r="A10" s="10" t="s">
        <v>512</v>
      </c>
      <c r="B10" s="11" t="s">
        <v>52</v>
      </c>
      <c r="C10" s="11" t="s">
        <v>41</v>
      </c>
      <c r="D10" s="11" t="s">
        <v>342</v>
      </c>
      <c r="E10" s="11" t="s">
        <v>343</v>
      </c>
      <c r="F10" s="11" t="s">
        <v>344</v>
      </c>
      <c r="G10" s="11" t="s">
        <v>353</v>
      </c>
      <c r="H10" s="11" t="s">
        <v>346</v>
      </c>
      <c r="I10" s="74">
        <v>100</v>
      </c>
      <c r="J10" s="11" t="s">
        <v>378</v>
      </c>
      <c r="K10" s="12">
        <v>1</v>
      </c>
    </row>
    <row r="11" spans="1:17" ht="14.25" x14ac:dyDescent="0.15">
      <c r="A11" s="10" t="s">
        <v>512</v>
      </c>
      <c r="B11" s="11" t="s">
        <v>52</v>
      </c>
      <c r="C11" s="11" t="s">
        <v>43</v>
      </c>
      <c r="D11" s="11" t="s">
        <v>342</v>
      </c>
      <c r="E11" s="11" t="s">
        <v>343</v>
      </c>
      <c r="F11" s="11" t="s">
        <v>344</v>
      </c>
      <c r="G11" s="11" t="s">
        <v>354</v>
      </c>
      <c r="H11" s="11" t="s">
        <v>346</v>
      </c>
      <c r="I11" s="74">
        <v>100</v>
      </c>
      <c r="J11" s="11" t="s">
        <v>378</v>
      </c>
      <c r="K11" s="12">
        <v>1</v>
      </c>
    </row>
    <row r="12" spans="1:17" ht="14.25" x14ac:dyDescent="0.15">
      <c r="A12" s="10" t="s">
        <v>512</v>
      </c>
      <c r="B12" s="11" t="s">
        <v>52</v>
      </c>
      <c r="C12" s="11" t="s">
        <v>44</v>
      </c>
      <c r="D12" s="11" t="s">
        <v>342</v>
      </c>
      <c r="E12" s="11" t="s">
        <v>343</v>
      </c>
      <c r="F12" s="11" t="s">
        <v>344</v>
      </c>
      <c r="G12" s="11" t="s">
        <v>355</v>
      </c>
      <c r="H12" s="11" t="s">
        <v>346</v>
      </c>
      <c r="I12" s="74">
        <v>100</v>
      </c>
      <c r="J12" s="11" t="s">
        <v>378</v>
      </c>
      <c r="K12" s="12">
        <v>1</v>
      </c>
    </row>
    <row r="13" spans="1:17" ht="14.25" x14ac:dyDescent="0.15">
      <c r="A13" s="10" t="s">
        <v>512</v>
      </c>
      <c r="B13" s="11" t="s">
        <v>52</v>
      </c>
      <c r="C13" s="11" t="s">
        <v>45</v>
      </c>
      <c r="D13" s="11" t="s">
        <v>342</v>
      </c>
      <c r="E13" s="11" t="s">
        <v>343</v>
      </c>
      <c r="F13" s="11" t="s">
        <v>344</v>
      </c>
      <c r="G13" s="11" t="s">
        <v>356</v>
      </c>
      <c r="H13" s="11" t="s">
        <v>346</v>
      </c>
      <c r="I13" s="74">
        <v>100</v>
      </c>
      <c r="J13" s="11" t="s">
        <v>378</v>
      </c>
      <c r="K13" s="12">
        <v>1</v>
      </c>
    </row>
    <row r="14" spans="1:17" ht="14.25" x14ac:dyDescent="0.15">
      <c r="A14" s="10" t="s">
        <v>512</v>
      </c>
      <c r="B14" s="11" t="s">
        <v>52</v>
      </c>
      <c r="C14" s="11" t="s">
        <v>47</v>
      </c>
      <c r="D14" s="11" t="s">
        <v>342</v>
      </c>
      <c r="E14" s="11" t="s">
        <v>343</v>
      </c>
      <c r="F14" s="11" t="s">
        <v>344</v>
      </c>
      <c r="G14" s="11" t="s">
        <v>357</v>
      </c>
      <c r="H14" s="11" t="s">
        <v>346</v>
      </c>
      <c r="I14" s="74">
        <v>100</v>
      </c>
      <c r="J14" s="11" t="s">
        <v>378</v>
      </c>
      <c r="K14" s="12">
        <v>1</v>
      </c>
    </row>
    <row r="15" spans="1:17" ht="14.25" x14ac:dyDescent="0.15">
      <c r="A15" s="10" t="s">
        <v>512</v>
      </c>
      <c r="B15" s="11" t="s">
        <v>52</v>
      </c>
      <c r="C15" s="11" t="s">
        <v>48</v>
      </c>
      <c r="D15" s="11" t="s">
        <v>342</v>
      </c>
      <c r="E15" s="11" t="s">
        <v>343</v>
      </c>
      <c r="F15" s="11" t="s">
        <v>344</v>
      </c>
      <c r="G15" s="11" t="s">
        <v>358</v>
      </c>
      <c r="H15" s="11" t="s">
        <v>346</v>
      </c>
      <c r="I15" s="74">
        <v>100</v>
      </c>
      <c r="J15" s="11" t="s">
        <v>378</v>
      </c>
      <c r="K15" s="12">
        <v>1</v>
      </c>
    </row>
    <row r="16" spans="1:17" ht="14.25" x14ac:dyDescent="0.15">
      <c r="A16" s="10" t="s">
        <v>512</v>
      </c>
      <c r="B16" s="11" t="s">
        <v>52</v>
      </c>
      <c r="C16" s="11" t="s">
        <v>49</v>
      </c>
      <c r="D16" s="11" t="s">
        <v>342</v>
      </c>
      <c r="E16" s="11" t="s">
        <v>343</v>
      </c>
      <c r="F16" s="11" t="s">
        <v>344</v>
      </c>
      <c r="G16" s="11" t="s">
        <v>359</v>
      </c>
      <c r="H16" s="11" t="s">
        <v>346</v>
      </c>
      <c r="I16" s="74">
        <v>100</v>
      </c>
      <c r="J16" s="11" t="s">
        <v>378</v>
      </c>
      <c r="K16" s="12">
        <v>1</v>
      </c>
    </row>
    <row r="17" spans="1:11" ht="14.25" x14ac:dyDescent="0.15">
      <c r="A17" s="10" t="s">
        <v>512</v>
      </c>
      <c r="B17" s="11" t="s">
        <v>52</v>
      </c>
      <c r="C17" s="11" t="s">
        <v>122</v>
      </c>
      <c r="D17" s="11" t="s">
        <v>342</v>
      </c>
      <c r="E17" s="11" t="s">
        <v>343</v>
      </c>
      <c r="F17" s="11" t="s">
        <v>344</v>
      </c>
      <c r="G17" s="11" t="s">
        <v>360</v>
      </c>
      <c r="H17" s="11" t="s">
        <v>346</v>
      </c>
      <c r="I17" s="74">
        <v>100</v>
      </c>
      <c r="J17" s="11" t="s">
        <v>378</v>
      </c>
      <c r="K17" s="12">
        <v>1</v>
      </c>
    </row>
    <row r="18" spans="1:11" ht="14.25" x14ac:dyDescent="0.15">
      <c r="A18" s="10" t="s">
        <v>512</v>
      </c>
      <c r="B18" s="11" t="s">
        <v>52</v>
      </c>
      <c r="C18" s="11" t="s">
        <v>123</v>
      </c>
      <c r="D18" s="11" t="s">
        <v>342</v>
      </c>
      <c r="E18" s="11" t="s">
        <v>343</v>
      </c>
      <c r="F18" s="11" t="s">
        <v>344</v>
      </c>
      <c r="G18" s="11" t="s">
        <v>361</v>
      </c>
      <c r="H18" s="11" t="s">
        <v>346</v>
      </c>
      <c r="I18" s="74">
        <v>100</v>
      </c>
      <c r="J18" s="11" t="s">
        <v>378</v>
      </c>
      <c r="K18" s="12">
        <v>1</v>
      </c>
    </row>
    <row r="19" spans="1:11" ht="14.25" x14ac:dyDescent="0.15">
      <c r="A19" s="10" t="s">
        <v>512</v>
      </c>
      <c r="B19" s="11" t="s">
        <v>52</v>
      </c>
      <c r="C19" s="11" t="s">
        <v>50</v>
      </c>
      <c r="D19" s="11" t="s">
        <v>342</v>
      </c>
      <c r="E19" s="11" t="s">
        <v>343</v>
      </c>
      <c r="F19" s="11" t="s">
        <v>344</v>
      </c>
      <c r="G19" s="11" t="s">
        <v>361</v>
      </c>
      <c r="H19" s="11" t="s">
        <v>346</v>
      </c>
      <c r="I19" s="74">
        <v>100</v>
      </c>
      <c r="J19" s="11" t="s">
        <v>378</v>
      </c>
      <c r="K19" s="12">
        <v>1</v>
      </c>
    </row>
    <row r="20" spans="1:11" ht="14.25" x14ac:dyDescent="0.15">
      <c r="A20" s="10" t="s">
        <v>512</v>
      </c>
      <c r="B20" s="11" t="s">
        <v>52</v>
      </c>
      <c r="C20" s="11" t="s">
        <v>51</v>
      </c>
      <c r="D20" s="11" t="s">
        <v>342</v>
      </c>
      <c r="E20" s="11" t="s">
        <v>343</v>
      </c>
      <c r="F20" s="11" t="s">
        <v>344</v>
      </c>
      <c r="G20" s="11" t="s">
        <v>353</v>
      </c>
      <c r="H20" s="11" t="s">
        <v>346</v>
      </c>
      <c r="I20" s="74">
        <v>100</v>
      </c>
      <c r="J20" s="11" t="s">
        <v>378</v>
      </c>
      <c r="K20" s="12">
        <v>1</v>
      </c>
    </row>
    <row r="21" spans="1:11" ht="14.25" x14ac:dyDescent="0.15">
      <c r="A21" s="10" t="s">
        <v>512</v>
      </c>
      <c r="B21" s="11" t="s">
        <v>52</v>
      </c>
      <c r="C21" s="11" t="s">
        <v>34</v>
      </c>
      <c r="D21" s="11" t="s">
        <v>342</v>
      </c>
      <c r="E21" s="11" t="s">
        <v>343</v>
      </c>
      <c r="F21" s="11" t="s">
        <v>344</v>
      </c>
      <c r="G21" s="11" t="s">
        <v>345</v>
      </c>
      <c r="H21" s="11" t="s">
        <v>346</v>
      </c>
      <c r="I21" s="74">
        <v>100</v>
      </c>
      <c r="J21" s="11" t="s">
        <v>378</v>
      </c>
      <c r="K21" s="12">
        <v>1</v>
      </c>
    </row>
    <row r="22" spans="1:11" ht="14.25" x14ac:dyDescent="0.15">
      <c r="A22" s="10" t="s">
        <v>512</v>
      </c>
      <c r="B22" s="11" t="s">
        <v>52</v>
      </c>
      <c r="C22" s="11" t="s">
        <v>35</v>
      </c>
      <c r="D22" s="11" t="s">
        <v>342</v>
      </c>
      <c r="E22" s="11" t="s">
        <v>343</v>
      </c>
      <c r="F22" s="11" t="s">
        <v>344</v>
      </c>
      <c r="G22" s="11" t="s">
        <v>347</v>
      </c>
      <c r="H22" s="11" t="s">
        <v>346</v>
      </c>
      <c r="I22" s="74">
        <v>100</v>
      </c>
      <c r="J22" s="11" t="s">
        <v>378</v>
      </c>
      <c r="K22" s="12">
        <v>1</v>
      </c>
    </row>
    <row r="23" spans="1:11" ht="14.25" x14ac:dyDescent="0.15">
      <c r="A23" s="10" t="s">
        <v>512</v>
      </c>
      <c r="B23" s="11" t="s">
        <v>52</v>
      </c>
      <c r="C23" s="11" t="s">
        <v>36</v>
      </c>
      <c r="D23" s="11" t="s">
        <v>342</v>
      </c>
      <c r="E23" s="11" t="s">
        <v>343</v>
      </c>
      <c r="F23" s="11" t="s">
        <v>344</v>
      </c>
      <c r="G23" s="11" t="s">
        <v>348</v>
      </c>
      <c r="H23" s="11" t="s">
        <v>346</v>
      </c>
      <c r="I23" s="74">
        <v>100</v>
      </c>
      <c r="J23" s="11" t="s">
        <v>378</v>
      </c>
      <c r="K23" s="12">
        <v>1</v>
      </c>
    </row>
    <row r="24" spans="1:11" ht="14.25" x14ac:dyDescent="0.15">
      <c r="A24" s="10" t="s">
        <v>512</v>
      </c>
      <c r="B24" s="11" t="s">
        <v>52</v>
      </c>
      <c r="C24" s="11" t="s">
        <v>37</v>
      </c>
      <c r="D24" s="11" t="s">
        <v>342</v>
      </c>
      <c r="E24" s="11" t="s">
        <v>343</v>
      </c>
      <c r="F24" s="11" t="s">
        <v>344</v>
      </c>
      <c r="G24" s="11" t="s">
        <v>349</v>
      </c>
      <c r="H24" s="11" t="s">
        <v>346</v>
      </c>
      <c r="I24" s="74">
        <v>100</v>
      </c>
      <c r="J24" s="11" t="s">
        <v>378</v>
      </c>
      <c r="K24" s="12">
        <v>1</v>
      </c>
    </row>
    <row r="25" spans="1:11" ht="14.25" x14ac:dyDescent="0.15">
      <c r="A25" s="10" t="s">
        <v>512</v>
      </c>
      <c r="B25" s="11" t="s">
        <v>52</v>
      </c>
      <c r="C25" s="11" t="s">
        <v>39</v>
      </c>
      <c r="D25" s="11" t="s">
        <v>342</v>
      </c>
      <c r="E25" s="11" t="s">
        <v>343</v>
      </c>
      <c r="F25" s="11" t="s">
        <v>344</v>
      </c>
      <c r="G25" s="11" t="s">
        <v>350</v>
      </c>
      <c r="H25" s="11" t="s">
        <v>346</v>
      </c>
      <c r="I25" s="74">
        <v>100</v>
      </c>
      <c r="J25" s="11" t="s">
        <v>378</v>
      </c>
      <c r="K25" s="12">
        <v>1</v>
      </c>
    </row>
    <row r="26" spans="1:11" ht="14.25" x14ac:dyDescent="0.15">
      <c r="A26" s="10" t="s">
        <v>512</v>
      </c>
      <c r="B26" s="11" t="s">
        <v>52</v>
      </c>
      <c r="C26" s="11" t="s">
        <v>121</v>
      </c>
      <c r="D26" s="11" t="s">
        <v>342</v>
      </c>
      <c r="E26" s="11" t="s">
        <v>343</v>
      </c>
      <c r="F26" s="11" t="s">
        <v>344</v>
      </c>
      <c r="G26" s="11" t="s">
        <v>351</v>
      </c>
      <c r="H26" s="11" t="s">
        <v>346</v>
      </c>
      <c r="I26" s="74">
        <v>100</v>
      </c>
      <c r="J26" s="11" t="s">
        <v>378</v>
      </c>
      <c r="K26" s="12">
        <v>1</v>
      </c>
    </row>
    <row r="27" spans="1:11" ht="14.25" x14ac:dyDescent="0.15">
      <c r="A27" s="10" t="s">
        <v>512</v>
      </c>
      <c r="B27" s="11" t="s">
        <v>52</v>
      </c>
      <c r="C27" s="11" t="s">
        <v>40</v>
      </c>
      <c r="D27" s="11" t="s">
        <v>342</v>
      </c>
      <c r="E27" s="11" t="s">
        <v>343</v>
      </c>
      <c r="F27" s="11" t="s">
        <v>344</v>
      </c>
      <c r="G27" s="11" t="s">
        <v>352</v>
      </c>
      <c r="H27" s="11" t="s">
        <v>346</v>
      </c>
      <c r="I27" s="74">
        <v>100</v>
      </c>
      <c r="J27" s="11" t="s">
        <v>378</v>
      </c>
      <c r="K27" s="12">
        <v>1</v>
      </c>
    </row>
    <row r="28" spans="1:11" ht="14.25" x14ac:dyDescent="0.15">
      <c r="A28" s="10" t="s">
        <v>512</v>
      </c>
      <c r="B28" s="11" t="s">
        <v>52</v>
      </c>
      <c r="C28" s="11" t="s">
        <v>41</v>
      </c>
      <c r="D28" s="11" t="s">
        <v>342</v>
      </c>
      <c r="E28" s="11" t="s">
        <v>343</v>
      </c>
      <c r="F28" s="11" t="s">
        <v>344</v>
      </c>
      <c r="G28" s="11" t="s">
        <v>353</v>
      </c>
      <c r="H28" s="11" t="s">
        <v>346</v>
      </c>
      <c r="I28" s="74">
        <v>100</v>
      </c>
      <c r="J28" s="11" t="s">
        <v>378</v>
      </c>
      <c r="K28" s="12">
        <v>1</v>
      </c>
    </row>
    <row r="29" spans="1:11" ht="14.25" x14ac:dyDescent="0.15">
      <c r="A29" s="10" t="s">
        <v>512</v>
      </c>
      <c r="B29" s="11" t="s">
        <v>52</v>
      </c>
      <c r="C29" s="11" t="s">
        <v>43</v>
      </c>
      <c r="D29" s="11" t="s">
        <v>342</v>
      </c>
      <c r="E29" s="11" t="s">
        <v>343</v>
      </c>
      <c r="F29" s="11" t="s">
        <v>344</v>
      </c>
      <c r="G29" s="11" t="s">
        <v>354</v>
      </c>
      <c r="H29" s="11" t="s">
        <v>346</v>
      </c>
      <c r="I29" s="74">
        <v>100</v>
      </c>
      <c r="J29" s="11" t="s">
        <v>378</v>
      </c>
      <c r="K29" s="12">
        <v>1</v>
      </c>
    </row>
    <row r="30" spans="1:11" ht="14.25" x14ac:dyDescent="0.15">
      <c r="A30" s="10" t="s">
        <v>512</v>
      </c>
      <c r="B30" s="11" t="s">
        <v>52</v>
      </c>
      <c r="C30" s="11" t="s">
        <v>44</v>
      </c>
      <c r="D30" s="11" t="s">
        <v>342</v>
      </c>
      <c r="E30" s="11" t="s">
        <v>343</v>
      </c>
      <c r="F30" s="11" t="s">
        <v>344</v>
      </c>
      <c r="G30" s="11" t="s">
        <v>355</v>
      </c>
      <c r="H30" s="11" t="s">
        <v>346</v>
      </c>
      <c r="I30" s="74">
        <v>100</v>
      </c>
      <c r="J30" s="11" t="s">
        <v>378</v>
      </c>
      <c r="K30" s="12">
        <v>1</v>
      </c>
    </row>
    <row r="31" spans="1:11" ht="14.25" x14ac:dyDescent="0.15">
      <c r="A31" s="10" t="s">
        <v>512</v>
      </c>
      <c r="B31" s="11" t="s">
        <v>52</v>
      </c>
      <c r="C31" s="11" t="s">
        <v>45</v>
      </c>
      <c r="D31" s="11" t="s">
        <v>342</v>
      </c>
      <c r="E31" s="11" t="s">
        <v>343</v>
      </c>
      <c r="F31" s="11" t="s">
        <v>344</v>
      </c>
      <c r="G31" s="11" t="s">
        <v>356</v>
      </c>
      <c r="H31" s="11" t="s">
        <v>346</v>
      </c>
      <c r="I31" s="74">
        <v>100</v>
      </c>
      <c r="J31" s="11" t="s">
        <v>378</v>
      </c>
      <c r="K31" s="12">
        <v>1</v>
      </c>
    </row>
    <row r="32" spans="1:11" ht="14.25" x14ac:dyDescent="0.15">
      <c r="A32" s="10" t="s">
        <v>512</v>
      </c>
      <c r="B32" s="11" t="s">
        <v>52</v>
      </c>
      <c r="C32" s="11" t="s">
        <v>47</v>
      </c>
      <c r="D32" s="11" t="s">
        <v>342</v>
      </c>
      <c r="E32" s="11" t="s">
        <v>343</v>
      </c>
      <c r="F32" s="11" t="s">
        <v>344</v>
      </c>
      <c r="G32" s="11" t="s">
        <v>357</v>
      </c>
      <c r="H32" s="11" t="s">
        <v>346</v>
      </c>
      <c r="I32" s="74">
        <v>100</v>
      </c>
      <c r="J32" s="11" t="s">
        <v>378</v>
      </c>
      <c r="K32" s="12">
        <v>1</v>
      </c>
    </row>
    <row r="33" spans="1:11" ht="14.25" x14ac:dyDescent="0.15">
      <c r="A33" s="10" t="s">
        <v>512</v>
      </c>
      <c r="B33" s="11" t="s">
        <v>52</v>
      </c>
      <c r="C33" s="11" t="s">
        <v>48</v>
      </c>
      <c r="D33" s="11" t="s">
        <v>342</v>
      </c>
      <c r="E33" s="11" t="s">
        <v>343</v>
      </c>
      <c r="F33" s="11" t="s">
        <v>344</v>
      </c>
      <c r="G33" s="11" t="s">
        <v>358</v>
      </c>
      <c r="H33" s="11" t="s">
        <v>346</v>
      </c>
      <c r="I33" s="74">
        <v>100</v>
      </c>
      <c r="J33" s="11" t="s">
        <v>378</v>
      </c>
      <c r="K33" s="12">
        <v>1</v>
      </c>
    </row>
    <row r="34" spans="1:11" ht="14.25" x14ac:dyDescent="0.15">
      <c r="A34" s="10" t="s">
        <v>512</v>
      </c>
      <c r="B34" s="11" t="s">
        <v>52</v>
      </c>
      <c r="C34" s="11" t="s">
        <v>49</v>
      </c>
      <c r="D34" s="11" t="s">
        <v>342</v>
      </c>
      <c r="E34" s="11" t="s">
        <v>343</v>
      </c>
      <c r="F34" s="11" t="s">
        <v>344</v>
      </c>
      <c r="G34" s="11" t="s">
        <v>359</v>
      </c>
      <c r="H34" s="11" t="s">
        <v>346</v>
      </c>
      <c r="I34" s="74">
        <v>100</v>
      </c>
      <c r="J34" s="11" t="s">
        <v>378</v>
      </c>
      <c r="K34" s="12">
        <v>1</v>
      </c>
    </row>
    <row r="35" spans="1:11" ht="14.25" x14ac:dyDescent="0.15">
      <c r="A35" s="10" t="s">
        <v>512</v>
      </c>
      <c r="B35" s="11" t="s">
        <v>52</v>
      </c>
      <c r="C35" s="11" t="s">
        <v>122</v>
      </c>
      <c r="D35" s="11" t="s">
        <v>342</v>
      </c>
      <c r="E35" s="11" t="s">
        <v>343</v>
      </c>
      <c r="F35" s="11" t="s">
        <v>344</v>
      </c>
      <c r="G35" s="11" t="s">
        <v>360</v>
      </c>
      <c r="H35" s="11" t="s">
        <v>346</v>
      </c>
      <c r="I35" s="74">
        <v>100</v>
      </c>
      <c r="J35" s="11" t="s">
        <v>378</v>
      </c>
      <c r="K35" s="12">
        <v>1</v>
      </c>
    </row>
    <row r="36" spans="1:11" ht="14.25" x14ac:dyDescent="0.15">
      <c r="A36" s="10" t="s">
        <v>512</v>
      </c>
      <c r="B36" s="11" t="s">
        <v>52</v>
      </c>
      <c r="C36" s="11" t="s">
        <v>123</v>
      </c>
      <c r="D36" s="11" t="s">
        <v>342</v>
      </c>
      <c r="E36" s="11" t="s">
        <v>343</v>
      </c>
      <c r="F36" s="11" t="s">
        <v>344</v>
      </c>
      <c r="G36" s="11" t="s">
        <v>361</v>
      </c>
      <c r="H36" s="11" t="s">
        <v>346</v>
      </c>
      <c r="I36" s="74">
        <v>100</v>
      </c>
      <c r="J36" s="11" t="s">
        <v>378</v>
      </c>
      <c r="K36" s="12">
        <v>1</v>
      </c>
    </row>
    <row r="37" spans="1:11" ht="14.25" x14ac:dyDescent="0.15">
      <c r="A37" s="10" t="s">
        <v>512</v>
      </c>
      <c r="B37" s="11" t="s">
        <v>52</v>
      </c>
      <c r="C37" s="11" t="s">
        <v>50</v>
      </c>
      <c r="D37" s="11" t="s">
        <v>342</v>
      </c>
      <c r="E37" s="11" t="s">
        <v>343</v>
      </c>
      <c r="F37" s="11" t="s">
        <v>344</v>
      </c>
      <c r="G37" s="11" t="s">
        <v>361</v>
      </c>
      <c r="H37" s="11" t="s">
        <v>346</v>
      </c>
      <c r="I37" s="74">
        <v>100</v>
      </c>
      <c r="J37" s="11" t="s">
        <v>378</v>
      </c>
      <c r="K37" s="12">
        <v>1</v>
      </c>
    </row>
    <row r="38" spans="1:11" ht="14.25" x14ac:dyDescent="0.15">
      <c r="A38" s="10" t="s">
        <v>512</v>
      </c>
      <c r="B38" s="11" t="s">
        <v>52</v>
      </c>
      <c r="C38" s="11" t="s">
        <v>51</v>
      </c>
      <c r="D38" s="11" t="s">
        <v>342</v>
      </c>
      <c r="E38" s="11" t="s">
        <v>343</v>
      </c>
      <c r="F38" s="11" t="s">
        <v>344</v>
      </c>
      <c r="G38" s="11" t="s">
        <v>353</v>
      </c>
      <c r="H38" s="11" t="s">
        <v>346</v>
      </c>
      <c r="I38" s="74">
        <v>100</v>
      </c>
      <c r="J38" s="11" t="s">
        <v>378</v>
      </c>
      <c r="K38" s="12">
        <v>1</v>
      </c>
    </row>
    <row r="39" spans="1:11" ht="14.25" x14ac:dyDescent="0.15">
      <c r="A39" s="10" t="s">
        <v>512</v>
      </c>
      <c r="B39" s="11" t="s">
        <v>67</v>
      </c>
      <c r="C39" s="11" t="s">
        <v>56</v>
      </c>
      <c r="D39" s="11" t="s">
        <v>342</v>
      </c>
      <c r="E39" s="11" t="s">
        <v>343</v>
      </c>
      <c r="F39" s="11" t="s">
        <v>344</v>
      </c>
      <c r="G39" s="11" t="s">
        <v>362</v>
      </c>
      <c r="H39" s="11" t="s">
        <v>346</v>
      </c>
      <c r="I39" s="74">
        <v>100</v>
      </c>
      <c r="J39" s="11" t="s">
        <v>378</v>
      </c>
      <c r="K39" s="12">
        <v>1</v>
      </c>
    </row>
    <row r="40" spans="1:11" ht="14.25" x14ac:dyDescent="0.15">
      <c r="A40" s="10" t="s">
        <v>512</v>
      </c>
      <c r="B40" s="11" t="s">
        <v>67</v>
      </c>
      <c r="C40" s="11" t="s">
        <v>57</v>
      </c>
      <c r="D40" s="11" t="s">
        <v>342</v>
      </c>
      <c r="E40" s="11" t="s">
        <v>343</v>
      </c>
      <c r="F40" s="11" t="s">
        <v>344</v>
      </c>
      <c r="G40" s="11" t="s">
        <v>363</v>
      </c>
      <c r="H40" s="11" t="s">
        <v>346</v>
      </c>
      <c r="I40" s="74">
        <v>100</v>
      </c>
      <c r="J40" s="11" t="s">
        <v>378</v>
      </c>
      <c r="K40" s="12">
        <v>1</v>
      </c>
    </row>
    <row r="41" spans="1:11" ht="14.25" x14ac:dyDescent="0.15">
      <c r="A41" s="10" t="s">
        <v>512</v>
      </c>
      <c r="B41" s="11" t="s">
        <v>67</v>
      </c>
      <c r="C41" s="11" t="s">
        <v>58</v>
      </c>
      <c r="D41" s="11" t="s">
        <v>342</v>
      </c>
      <c r="E41" s="11" t="s">
        <v>343</v>
      </c>
      <c r="F41" s="11" t="s">
        <v>344</v>
      </c>
      <c r="G41" s="11" t="s">
        <v>364</v>
      </c>
      <c r="H41" s="11" t="s">
        <v>346</v>
      </c>
      <c r="I41" s="74">
        <v>100</v>
      </c>
      <c r="J41" s="11" t="s">
        <v>378</v>
      </c>
      <c r="K41" s="12">
        <v>1</v>
      </c>
    </row>
    <row r="42" spans="1:11" ht="14.25" x14ac:dyDescent="0.15">
      <c r="A42" s="10" t="s">
        <v>512</v>
      </c>
      <c r="B42" s="11" t="s">
        <v>67</v>
      </c>
      <c r="C42" s="11" t="s">
        <v>60</v>
      </c>
      <c r="D42" s="11" t="s">
        <v>342</v>
      </c>
      <c r="E42" s="11" t="s">
        <v>343</v>
      </c>
      <c r="F42" s="11" t="s">
        <v>344</v>
      </c>
      <c r="G42" s="11" t="s">
        <v>517</v>
      </c>
      <c r="H42" s="11" t="s">
        <v>346</v>
      </c>
      <c r="I42" s="74">
        <v>100</v>
      </c>
      <c r="J42" s="11" t="s">
        <v>378</v>
      </c>
      <c r="K42" s="12">
        <v>1</v>
      </c>
    </row>
    <row r="43" spans="1:11" ht="14.25" x14ac:dyDescent="0.15">
      <c r="A43" s="10" t="s">
        <v>512</v>
      </c>
      <c r="B43" s="11" t="s">
        <v>67</v>
      </c>
      <c r="C43" s="11" t="s">
        <v>124</v>
      </c>
      <c r="D43" s="11" t="s">
        <v>342</v>
      </c>
      <c r="E43" s="11" t="s">
        <v>343</v>
      </c>
      <c r="F43" s="11" t="s">
        <v>344</v>
      </c>
      <c r="G43" s="11" t="s">
        <v>365</v>
      </c>
      <c r="H43" s="11" t="s">
        <v>346</v>
      </c>
      <c r="I43" s="74">
        <v>100</v>
      </c>
      <c r="J43" s="11" t="s">
        <v>378</v>
      </c>
      <c r="K43" s="12">
        <v>1</v>
      </c>
    </row>
    <row r="44" spans="1:11" ht="14.25" x14ac:dyDescent="0.15">
      <c r="A44" s="10" t="s">
        <v>512</v>
      </c>
      <c r="B44" s="11" t="s">
        <v>67</v>
      </c>
      <c r="C44" s="11" t="s">
        <v>125</v>
      </c>
      <c r="D44" s="11" t="s">
        <v>342</v>
      </c>
      <c r="E44" s="11" t="s">
        <v>343</v>
      </c>
      <c r="F44" s="11" t="s">
        <v>344</v>
      </c>
      <c r="G44" s="11" t="s">
        <v>366</v>
      </c>
      <c r="H44" s="11" t="s">
        <v>346</v>
      </c>
      <c r="I44" s="74">
        <v>100</v>
      </c>
      <c r="J44" s="11" t="s">
        <v>378</v>
      </c>
      <c r="K44" s="12">
        <v>1</v>
      </c>
    </row>
    <row r="45" spans="1:11" ht="14.25" x14ac:dyDescent="0.15">
      <c r="A45" s="10" t="s">
        <v>512</v>
      </c>
      <c r="B45" s="11" t="s">
        <v>67</v>
      </c>
      <c r="C45" s="11" t="s">
        <v>62</v>
      </c>
      <c r="D45" s="11" t="s">
        <v>342</v>
      </c>
      <c r="E45" s="11" t="s">
        <v>343</v>
      </c>
      <c r="F45" s="11" t="s">
        <v>344</v>
      </c>
      <c r="G45" s="11" t="s">
        <v>367</v>
      </c>
      <c r="H45" s="11" t="s">
        <v>346</v>
      </c>
      <c r="I45" s="74">
        <v>100</v>
      </c>
      <c r="J45" s="11" t="s">
        <v>378</v>
      </c>
      <c r="K45" s="12">
        <v>1</v>
      </c>
    </row>
    <row r="46" spans="1:11" ht="14.25" x14ac:dyDescent="0.15">
      <c r="A46" s="10" t="s">
        <v>512</v>
      </c>
      <c r="B46" s="11" t="s">
        <v>67</v>
      </c>
      <c r="C46" s="11" t="s">
        <v>63</v>
      </c>
      <c r="D46" s="11" t="s">
        <v>342</v>
      </c>
      <c r="E46" s="11" t="s">
        <v>343</v>
      </c>
      <c r="F46" s="11" t="s">
        <v>344</v>
      </c>
      <c r="G46" s="11" t="s">
        <v>368</v>
      </c>
      <c r="H46" s="11" t="s">
        <v>346</v>
      </c>
      <c r="I46" s="74">
        <v>100</v>
      </c>
      <c r="J46" s="11" t="s">
        <v>378</v>
      </c>
      <c r="K46" s="12">
        <v>1</v>
      </c>
    </row>
    <row r="47" spans="1:11" ht="14.25" x14ac:dyDescent="0.15">
      <c r="A47" s="10" t="s">
        <v>512</v>
      </c>
      <c r="B47" s="11" t="s">
        <v>67</v>
      </c>
      <c r="C47" s="11" t="s">
        <v>64</v>
      </c>
      <c r="D47" s="11" t="s">
        <v>342</v>
      </c>
      <c r="E47" s="11" t="s">
        <v>343</v>
      </c>
      <c r="F47" s="11" t="s">
        <v>344</v>
      </c>
      <c r="G47" s="11" t="s">
        <v>369</v>
      </c>
      <c r="H47" s="11" t="s">
        <v>346</v>
      </c>
      <c r="I47" s="74">
        <v>100</v>
      </c>
      <c r="J47" s="11" t="s">
        <v>378</v>
      </c>
      <c r="K47" s="12">
        <v>1</v>
      </c>
    </row>
    <row r="48" spans="1:11" ht="14.25" x14ac:dyDescent="0.15">
      <c r="A48" s="10" t="s">
        <v>512</v>
      </c>
      <c r="B48" s="11" t="s">
        <v>67</v>
      </c>
      <c r="C48" s="11" t="s">
        <v>65</v>
      </c>
      <c r="D48" s="11" t="s">
        <v>342</v>
      </c>
      <c r="E48" s="11" t="s">
        <v>343</v>
      </c>
      <c r="F48" s="11" t="s">
        <v>344</v>
      </c>
      <c r="G48" s="11" t="s">
        <v>370</v>
      </c>
      <c r="H48" s="11" t="s">
        <v>346</v>
      </c>
      <c r="I48" s="74">
        <v>100</v>
      </c>
      <c r="J48" s="11" t="s">
        <v>378</v>
      </c>
      <c r="K48" s="12">
        <v>1</v>
      </c>
    </row>
    <row r="49" spans="1:11" ht="14.25" x14ac:dyDescent="0.15">
      <c r="A49" s="10" t="s">
        <v>512</v>
      </c>
      <c r="B49" s="11" t="s">
        <v>67</v>
      </c>
      <c r="C49" s="11" t="s">
        <v>66</v>
      </c>
      <c r="D49" s="11" t="s">
        <v>342</v>
      </c>
      <c r="E49" s="11" t="s">
        <v>343</v>
      </c>
      <c r="F49" s="11" t="s">
        <v>344</v>
      </c>
      <c r="G49" s="11" t="s">
        <v>371</v>
      </c>
      <c r="H49" s="11" t="s">
        <v>346</v>
      </c>
      <c r="I49" s="74">
        <v>100</v>
      </c>
      <c r="J49" s="11" t="s">
        <v>378</v>
      </c>
      <c r="K49" s="12">
        <v>1</v>
      </c>
    </row>
    <row r="50" spans="1:11" ht="14.25" x14ac:dyDescent="0.15">
      <c r="A50" s="10" t="s">
        <v>512</v>
      </c>
      <c r="B50" s="11" t="s">
        <v>67</v>
      </c>
      <c r="C50" s="11" t="s">
        <v>126</v>
      </c>
      <c r="D50" s="11" t="s">
        <v>342</v>
      </c>
      <c r="E50" s="11" t="s">
        <v>343</v>
      </c>
      <c r="F50" s="11" t="s">
        <v>344</v>
      </c>
      <c r="G50" s="11" t="s">
        <v>372</v>
      </c>
      <c r="H50" s="11" t="s">
        <v>346</v>
      </c>
      <c r="I50" s="74">
        <v>100</v>
      </c>
      <c r="J50" s="11" t="s">
        <v>378</v>
      </c>
      <c r="K50" s="12">
        <v>1</v>
      </c>
    </row>
    <row r="51" spans="1:11" ht="14.25" x14ac:dyDescent="0.15">
      <c r="A51" s="10" t="s">
        <v>512</v>
      </c>
      <c r="B51" s="11" t="s">
        <v>67</v>
      </c>
      <c r="C51" s="11" t="s">
        <v>127</v>
      </c>
      <c r="D51" s="11" t="s">
        <v>342</v>
      </c>
      <c r="E51" s="11" t="s">
        <v>343</v>
      </c>
      <c r="F51" s="11" t="s">
        <v>344</v>
      </c>
      <c r="G51" s="11" t="s">
        <v>373</v>
      </c>
      <c r="H51" s="11" t="s">
        <v>346</v>
      </c>
      <c r="I51" s="74">
        <v>100</v>
      </c>
      <c r="J51" s="11" t="s">
        <v>378</v>
      </c>
      <c r="K51" s="12">
        <v>1</v>
      </c>
    </row>
    <row r="52" spans="1:11" ht="14.25" x14ac:dyDescent="0.15">
      <c r="A52" s="10" t="s">
        <v>512</v>
      </c>
      <c r="B52" s="11" t="s">
        <v>67</v>
      </c>
      <c r="C52" s="11" t="s">
        <v>56</v>
      </c>
      <c r="D52" s="11" t="s">
        <v>342</v>
      </c>
      <c r="E52" s="11" t="s">
        <v>343</v>
      </c>
      <c r="F52" s="11" t="s">
        <v>344</v>
      </c>
      <c r="G52" s="11" t="s">
        <v>362</v>
      </c>
      <c r="H52" s="11" t="s">
        <v>346</v>
      </c>
      <c r="I52" s="74">
        <v>100</v>
      </c>
      <c r="J52" s="11" t="s">
        <v>378</v>
      </c>
      <c r="K52" s="12">
        <v>1</v>
      </c>
    </row>
    <row r="53" spans="1:11" ht="14.25" x14ac:dyDescent="0.15">
      <c r="A53" s="10" t="s">
        <v>512</v>
      </c>
      <c r="B53" s="11" t="s">
        <v>67</v>
      </c>
      <c r="C53" s="11" t="s">
        <v>57</v>
      </c>
      <c r="D53" s="11" t="s">
        <v>342</v>
      </c>
      <c r="E53" s="11" t="s">
        <v>343</v>
      </c>
      <c r="F53" s="11" t="s">
        <v>344</v>
      </c>
      <c r="G53" s="11" t="s">
        <v>363</v>
      </c>
      <c r="H53" s="11" t="s">
        <v>346</v>
      </c>
      <c r="I53" s="74">
        <v>100</v>
      </c>
      <c r="J53" s="11" t="s">
        <v>378</v>
      </c>
      <c r="K53" s="12">
        <v>1</v>
      </c>
    </row>
    <row r="54" spans="1:11" ht="14.25" x14ac:dyDescent="0.15">
      <c r="A54" s="10" t="s">
        <v>512</v>
      </c>
      <c r="B54" s="11" t="s">
        <v>67</v>
      </c>
      <c r="C54" s="11" t="s">
        <v>58</v>
      </c>
      <c r="D54" s="11" t="s">
        <v>342</v>
      </c>
      <c r="E54" s="11" t="s">
        <v>343</v>
      </c>
      <c r="F54" s="11" t="s">
        <v>344</v>
      </c>
      <c r="G54" s="11" t="s">
        <v>364</v>
      </c>
      <c r="H54" s="11" t="s">
        <v>346</v>
      </c>
      <c r="I54" s="74">
        <v>100</v>
      </c>
      <c r="J54" s="11" t="s">
        <v>378</v>
      </c>
      <c r="K54" s="12">
        <v>1</v>
      </c>
    </row>
    <row r="55" spans="1:11" ht="14.25" x14ac:dyDescent="0.15">
      <c r="A55" s="10" t="s">
        <v>512</v>
      </c>
      <c r="B55" s="11" t="s">
        <v>67</v>
      </c>
      <c r="C55" s="11" t="s">
        <v>60</v>
      </c>
      <c r="D55" s="11" t="s">
        <v>342</v>
      </c>
      <c r="E55" s="11" t="s">
        <v>343</v>
      </c>
      <c r="F55" s="11" t="s">
        <v>344</v>
      </c>
      <c r="G55" s="11" t="s">
        <v>517</v>
      </c>
      <c r="H55" s="11" t="s">
        <v>346</v>
      </c>
      <c r="I55" s="74">
        <v>100</v>
      </c>
      <c r="J55" s="11" t="s">
        <v>378</v>
      </c>
      <c r="K55" s="12">
        <v>1</v>
      </c>
    </row>
    <row r="56" spans="1:11" ht="14.25" x14ac:dyDescent="0.15">
      <c r="A56" s="10" t="s">
        <v>512</v>
      </c>
      <c r="B56" s="11" t="s">
        <v>67</v>
      </c>
      <c r="C56" s="11" t="s">
        <v>124</v>
      </c>
      <c r="D56" s="11" t="s">
        <v>342</v>
      </c>
      <c r="E56" s="11" t="s">
        <v>343</v>
      </c>
      <c r="F56" s="11" t="s">
        <v>344</v>
      </c>
      <c r="G56" s="11" t="s">
        <v>365</v>
      </c>
      <c r="H56" s="11" t="s">
        <v>346</v>
      </c>
      <c r="I56" s="74">
        <v>100</v>
      </c>
      <c r="J56" s="11" t="s">
        <v>378</v>
      </c>
      <c r="K56" s="12">
        <v>1</v>
      </c>
    </row>
    <row r="57" spans="1:11" ht="14.25" x14ac:dyDescent="0.15">
      <c r="A57" s="10" t="s">
        <v>512</v>
      </c>
      <c r="B57" s="11" t="s">
        <v>67</v>
      </c>
      <c r="C57" s="11" t="s">
        <v>125</v>
      </c>
      <c r="D57" s="11" t="s">
        <v>342</v>
      </c>
      <c r="E57" s="11" t="s">
        <v>343</v>
      </c>
      <c r="F57" s="11" t="s">
        <v>344</v>
      </c>
      <c r="G57" s="11" t="s">
        <v>366</v>
      </c>
      <c r="H57" s="11" t="s">
        <v>346</v>
      </c>
      <c r="I57" s="74">
        <v>100</v>
      </c>
      <c r="J57" s="11" t="s">
        <v>378</v>
      </c>
      <c r="K57" s="12">
        <v>1</v>
      </c>
    </row>
    <row r="58" spans="1:11" ht="14.25" x14ac:dyDescent="0.15">
      <c r="A58" s="10" t="s">
        <v>512</v>
      </c>
      <c r="B58" s="11" t="s">
        <v>67</v>
      </c>
      <c r="C58" s="11" t="s">
        <v>62</v>
      </c>
      <c r="D58" s="11" t="s">
        <v>342</v>
      </c>
      <c r="E58" s="11" t="s">
        <v>343</v>
      </c>
      <c r="F58" s="11" t="s">
        <v>344</v>
      </c>
      <c r="G58" s="11" t="s">
        <v>367</v>
      </c>
      <c r="H58" s="11" t="s">
        <v>346</v>
      </c>
      <c r="I58" s="74">
        <v>100</v>
      </c>
      <c r="J58" s="11" t="s">
        <v>378</v>
      </c>
      <c r="K58" s="12">
        <v>1</v>
      </c>
    </row>
    <row r="59" spans="1:11" ht="14.25" x14ac:dyDescent="0.15">
      <c r="A59" s="10" t="s">
        <v>512</v>
      </c>
      <c r="B59" s="11" t="s">
        <v>67</v>
      </c>
      <c r="C59" s="11" t="s">
        <v>63</v>
      </c>
      <c r="D59" s="11" t="s">
        <v>342</v>
      </c>
      <c r="E59" s="11" t="s">
        <v>343</v>
      </c>
      <c r="F59" s="11" t="s">
        <v>344</v>
      </c>
      <c r="G59" s="11" t="s">
        <v>368</v>
      </c>
      <c r="H59" s="11" t="s">
        <v>346</v>
      </c>
      <c r="I59" s="74">
        <v>100</v>
      </c>
      <c r="J59" s="11" t="s">
        <v>378</v>
      </c>
      <c r="K59" s="12">
        <v>1</v>
      </c>
    </row>
    <row r="60" spans="1:11" ht="14.25" x14ac:dyDescent="0.15">
      <c r="A60" s="10" t="s">
        <v>512</v>
      </c>
      <c r="B60" s="11" t="s">
        <v>67</v>
      </c>
      <c r="C60" s="11" t="s">
        <v>64</v>
      </c>
      <c r="D60" s="11" t="s">
        <v>342</v>
      </c>
      <c r="E60" s="11" t="s">
        <v>343</v>
      </c>
      <c r="F60" s="11" t="s">
        <v>344</v>
      </c>
      <c r="G60" s="11" t="s">
        <v>369</v>
      </c>
      <c r="H60" s="11" t="s">
        <v>346</v>
      </c>
      <c r="I60" s="74">
        <v>100</v>
      </c>
      <c r="J60" s="11" t="s">
        <v>378</v>
      </c>
      <c r="K60" s="12">
        <v>1</v>
      </c>
    </row>
    <row r="61" spans="1:11" ht="14.25" x14ac:dyDescent="0.15">
      <c r="A61" s="10" t="s">
        <v>512</v>
      </c>
      <c r="B61" s="11" t="s">
        <v>67</v>
      </c>
      <c r="C61" s="11" t="s">
        <v>65</v>
      </c>
      <c r="D61" s="11" t="s">
        <v>342</v>
      </c>
      <c r="E61" s="11" t="s">
        <v>343</v>
      </c>
      <c r="F61" s="11" t="s">
        <v>344</v>
      </c>
      <c r="G61" s="11" t="s">
        <v>370</v>
      </c>
      <c r="H61" s="11" t="s">
        <v>346</v>
      </c>
      <c r="I61" s="74">
        <v>100</v>
      </c>
      <c r="J61" s="11" t="s">
        <v>378</v>
      </c>
      <c r="K61" s="12">
        <v>1</v>
      </c>
    </row>
    <row r="62" spans="1:11" ht="14.25" x14ac:dyDescent="0.15">
      <c r="A62" s="10" t="s">
        <v>512</v>
      </c>
      <c r="B62" s="11" t="s">
        <v>67</v>
      </c>
      <c r="C62" s="11" t="s">
        <v>66</v>
      </c>
      <c r="D62" s="11" t="s">
        <v>342</v>
      </c>
      <c r="E62" s="11" t="s">
        <v>343</v>
      </c>
      <c r="F62" s="11" t="s">
        <v>344</v>
      </c>
      <c r="G62" s="11" t="s">
        <v>371</v>
      </c>
      <c r="H62" s="11" t="s">
        <v>346</v>
      </c>
      <c r="I62" s="74">
        <v>100</v>
      </c>
      <c r="J62" s="11" t="s">
        <v>378</v>
      </c>
      <c r="K62" s="12">
        <v>1</v>
      </c>
    </row>
    <row r="63" spans="1:11" ht="14.25" x14ac:dyDescent="0.15">
      <c r="A63" s="10" t="s">
        <v>512</v>
      </c>
      <c r="B63" s="11" t="s">
        <v>67</v>
      </c>
      <c r="C63" s="11" t="s">
        <v>126</v>
      </c>
      <c r="D63" s="11" t="s">
        <v>342</v>
      </c>
      <c r="E63" s="11" t="s">
        <v>343</v>
      </c>
      <c r="F63" s="11" t="s">
        <v>344</v>
      </c>
      <c r="G63" s="11" t="s">
        <v>372</v>
      </c>
      <c r="H63" s="11" t="s">
        <v>346</v>
      </c>
      <c r="I63" s="74">
        <v>100</v>
      </c>
      <c r="J63" s="11" t="s">
        <v>378</v>
      </c>
      <c r="K63" s="12">
        <v>1</v>
      </c>
    </row>
    <row r="64" spans="1:11" ht="14.25" x14ac:dyDescent="0.15">
      <c r="A64" s="10" t="s">
        <v>512</v>
      </c>
      <c r="B64" s="11" t="s">
        <v>67</v>
      </c>
      <c r="C64" s="11" t="s">
        <v>127</v>
      </c>
      <c r="D64" s="11" t="s">
        <v>342</v>
      </c>
      <c r="E64" s="11" t="s">
        <v>343</v>
      </c>
      <c r="F64" s="11" t="s">
        <v>344</v>
      </c>
      <c r="G64" s="11" t="s">
        <v>373</v>
      </c>
      <c r="H64" s="11" t="s">
        <v>346</v>
      </c>
      <c r="I64" s="74">
        <v>100</v>
      </c>
      <c r="J64" s="11" t="s">
        <v>378</v>
      </c>
      <c r="K64" s="12">
        <v>1</v>
      </c>
    </row>
    <row r="65" spans="1:11" ht="14.25" x14ac:dyDescent="0.15">
      <c r="A65" s="10" t="s">
        <v>512</v>
      </c>
      <c r="B65" s="11" t="s">
        <v>77</v>
      </c>
      <c r="C65" s="11" t="s">
        <v>71</v>
      </c>
      <c r="D65" s="11" t="s">
        <v>342</v>
      </c>
      <c r="E65" s="11" t="s">
        <v>343</v>
      </c>
      <c r="F65" s="11" t="s">
        <v>344</v>
      </c>
      <c r="G65" s="11" t="s">
        <v>374</v>
      </c>
      <c r="H65" s="11" t="s">
        <v>346</v>
      </c>
      <c r="I65" s="74">
        <v>100</v>
      </c>
      <c r="J65" s="11" t="s">
        <v>378</v>
      </c>
      <c r="K65" s="12">
        <v>1</v>
      </c>
    </row>
    <row r="66" spans="1:11" ht="14.25" x14ac:dyDescent="0.15">
      <c r="A66" s="10" t="s">
        <v>512</v>
      </c>
      <c r="B66" s="11" t="s">
        <v>77</v>
      </c>
      <c r="C66" s="11" t="s">
        <v>69</v>
      </c>
      <c r="D66" s="11" t="s">
        <v>342</v>
      </c>
      <c r="E66" s="11" t="s">
        <v>343</v>
      </c>
      <c r="F66" s="11" t="s">
        <v>344</v>
      </c>
      <c r="G66" s="11" t="s">
        <v>375</v>
      </c>
      <c r="H66" s="11" t="s">
        <v>346</v>
      </c>
      <c r="I66" s="74">
        <v>100</v>
      </c>
      <c r="J66" s="11" t="s">
        <v>378</v>
      </c>
      <c r="K66" s="12">
        <v>1</v>
      </c>
    </row>
    <row r="67" spans="1:11" ht="14.25" x14ac:dyDescent="0.15">
      <c r="A67" s="10" t="s">
        <v>512</v>
      </c>
      <c r="B67" s="11" t="s">
        <v>77</v>
      </c>
      <c r="C67" s="11" t="s">
        <v>73</v>
      </c>
      <c r="D67" s="11" t="s">
        <v>342</v>
      </c>
      <c r="E67" s="11" t="s">
        <v>343</v>
      </c>
      <c r="F67" s="11" t="s">
        <v>344</v>
      </c>
      <c r="G67" s="11" t="s">
        <v>376</v>
      </c>
      <c r="H67" s="11" t="s">
        <v>346</v>
      </c>
      <c r="I67" s="74">
        <v>100</v>
      </c>
      <c r="J67" s="11" t="s">
        <v>378</v>
      </c>
      <c r="K67" s="12">
        <v>1</v>
      </c>
    </row>
    <row r="68" spans="1:11" ht="14.25" x14ac:dyDescent="0.15">
      <c r="A68" s="10" t="s">
        <v>512</v>
      </c>
      <c r="B68" s="11" t="s">
        <v>77</v>
      </c>
      <c r="C68" s="11" t="s">
        <v>72</v>
      </c>
      <c r="D68" s="11" t="s">
        <v>342</v>
      </c>
      <c r="E68" s="11" t="s">
        <v>343</v>
      </c>
      <c r="F68" s="11" t="s">
        <v>344</v>
      </c>
      <c r="G68" s="11" t="s">
        <v>377</v>
      </c>
      <c r="H68" s="11" t="s">
        <v>346</v>
      </c>
      <c r="I68" s="74">
        <v>100</v>
      </c>
      <c r="J68" s="11" t="s">
        <v>378</v>
      </c>
      <c r="K68" s="12">
        <v>1</v>
      </c>
    </row>
    <row r="69" spans="1:11" ht="14.25" x14ac:dyDescent="0.15">
      <c r="A69" s="10" t="s">
        <v>512</v>
      </c>
      <c r="B69" s="11" t="s">
        <v>77</v>
      </c>
      <c r="C69" s="11" t="s">
        <v>75</v>
      </c>
      <c r="D69" s="11" t="s">
        <v>342</v>
      </c>
      <c r="E69" s="11" t="s">
        <v>343</v>
      </c>
      <c r="F69" s="11" t="s">
        <v>344</v>
      </c>
      <c r="G69" s="11" t="s">
        <v>379</v>
      </c>
      <c r="H69" s="11" t="s">
        <v>346</v>
      </c>
      <c r="I69" s="74">
        <v>100</v>
      </c>
      <c r="J69" s="11" t="s">
        <v>378</v>
      </c>
      <c r="K69" s="12">
        <v>1</v>
      </c>
    </row>
    <row r="70" spans="1:11" ht="14.25" x14ac:dyDescent="0.15">
      <c r="A70" s="10" t="s">
        <v>512</v>
      </c>
      <c r="B70" s="11" t="s">
        <v>77</v>
      </c>
      <c r="C70" s="11" t="s">
        <v>74</v>
      </c>
      <c r="D70" s="11" t="s">
        <v>342</v>
      </c>
      <c r="E70" s="11" t="s">
        <v>343</v>
      </c>
      <c r="F70" s="11" t="s">
        <v>344</v>
      </c>
      <c r="G70" s="11" t="s">
        <v>380</v>
      </c>
      <c r="H70" s="11" t="s">
        <v>346</v>
      </c>
      <c r="I70" s="74">
        <v>100</v>
      </c>
      <c r="J70" s="11" t="s">
        <v>378</v>
      </c>
      <c r="K70" s="12">
        <v>1</v>
      </c>
    </row>
    <row r="71" spans="1:11" ht="14.25" x14ac:dyDescent="0.15">
      <c r="A71" s="10" t="s">
        <v>512</v>
      </c>
      <c r="B71" s="11" t="s">
        <v>77</v>
      </c>
      <c r="C71" s="11" t="s">
        <v>128</v>
      </c>
      <c r="D71" s="11" t="s">
        <v>342</v>
      </c>
      <c r="E71" s="11" t="s">
        <v>343</v>
      </c>
      <c r="F71" s="11" t="s">
        <v>344</v>
      </c>
      <c r="G71" s="11" t="s">
        <v>381</v>
      </c>
      <c r="H71" s="11" t="s">
        <v>346</v>
      </c>
      <c r="I71" s="74">
        <v>100</v>
      </c>
      <c r="J71" s="11" t="s">
        <v>378</v>
      </c>
      <c r="K71" s="12">
        <v>1</v>
      </c>
    </row>
    <row r="72" spans="1:11" ht="14.25" x14ac:dyDescent="0.15">
      <c r="A72" s="10" t="s">
        <v>512</v>
      </c>
      <c r="B72" s="11" t="s">
        <v>77</v>
      </c>
      <c r="C72" s="11" t="s">
        <v>129</v>
      </c>
      <c r="D72" s="11" t="s">
        <v>342</v>
      </c>
      <c r="E72" s="11" t="s">
        <v>343</v>
      </c>
      <c r="F72" s="11" t="s">
        <v>344</v>
      </c>
      <c r="G72" s="11" t="s">
        <v>382</v>
      </c>
      <c r="H72" s="11" t="s">
        <v>346</v>
      </c>
      <c r="I72" s="74">
        <v>100</v>
      </c>
      <c r="J72" s="11" t="s">
        <v>378</v>
      </c>
      <c r="K72" s="12">
        <v>1</v>
      </c>
    </row>
    <row r="73" spans="1:11" ht="14.25" x14ac:dyDescent="0.15">
      <c r="A73" s="10" t="s">
        <v>512</v>
      </c>
      <c r="B73" s="11" t="s">
        <v>77</v>
      </c>
      <c r="C73" s="11" t="s">
        <v>79</v>
      </c>
      <c r="D73" s="11" t="s">
        <v>342</v>
      </c>
      <c r="E73" s="11" t="s">
        <v>343</v>
      </c>
      <c r="F73" s="11" t="s">
        <v>344</v>
      </c>
      <c r="G73" s="11" t="s">
        <v>383</v>
      </c>
      <c r="H73" s="11" t="s">
        <v>346</v>
      </c>
      <c r="I73" s="74">
        <v>100</v>
      </c>
      <c r="J73" s="11" t="s">
        <v>378</v>
      </c>
      <c r="K73" s="12">
        <v>1</v>
      </c>
    </row>
    <row r="74" spans="1:11" ht="14.25" x14ac:dyDescent="0.15">
      <c r="A74" s="10" t="s">
        <v>512</v>
      </c>
      <c r="B74" s="11" t="s">
        <v>77</v>
      </c>
      <c r="C74" s="11" t="s">
        <v>80</v>
      </c>
      <c r="D74" s="11" t="s">
        <v>342</v>
      </c>
      <c r="E74" s="11" t="s">
        <v>343</v>
      </c>
      <c r="F74" s="11" t="s">
        <v>344</v>
      </c>
      <c r="G74" s="11" t="s">
        <v>384</v>
      </c>
      <c r="H74" s="11" t="s">
        <v>346</v>
      </c>
      <c r="I74" s="74">
        <v>100</v>
      </c>
      <c r="J74" s="11" t="s">
        <v>378</v>
      </c>
      <c r="K74" s="12">
        <v>1</v>
      </c>
    </row>
    <row r="75" spans="1:11" ht="14.25" x14ac:dyDescent="0.15">
      <c r="A75" s="10" t="s">
        <v>512</v>
      </c>
      <c r="B75" s="11" t="s">
        <v>77</v>
      </c>
      <c r="C75" s="11" t="s">
        <v>76</v>
      </c>
      <c r="D75" s="11" t="s">
        <v>342</v>
      </c>
      <c r="E75" s="11" t="s">
        <v>343</v>
      </c>
      <c r="F75" s="11" t="s">
        <v>344</v>
      </c>
      <c r="G75" s="11" t="s">
        <v>385</v>
      </c>
      <c r="H75" s="11" t="s">
        <v>346</v>
      </c>
      <c r="I75" s="74">
        <v>100</v>
      </c>
      <c r="J75" s="11" t="s">
        <v>378</v>
      </c>
      <c r="K75" s="12">
        <v>1</v>
      </c>
    </row>
  </sheetData>
  <mergeCells count="1">
    <mergeCell ref="A1:Q1"/>
  </mergeCells>
  <phoneticPr fontId="7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D21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528</v>
      </c>
      <c r="B1" s="5" t="s">
        <v>14</v>
      </c>
      <c r="C1" s="190" t="str">
        <f>"际诺思(013890)"&amp;IF(样本池!$E$6="统一RMB"," [KRW→RMB]","")</f>
        <v>际诺思(013890)</v>
      </c>
      <c r="D1" s="191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33</v>
      </c>
      <c r="B3" s="8" t="s">
        <v>34</v>
      </c>
      <c r="C3" s="9">
        <f>IF(C202="","",IF(样本池!$E$6="原币",C202,IF(ISNUMBER(C202),C202*0.00485,C202)))</f>
        <v>127.479</v>
      </c>
      <c r="D3" s="9">
        <f>IF(D202="","",IF(样本池!$E$6="原币",D202,IF(ISNUMBER(D202),D202*0.00494,D202)))</f>
        <v>61.875</v>
      </c>
    </row>
    <row r="4" spans="1:4" ht="16.5" x14ac:dyDescent="0.35">
      <c r="A4" s="8" t="s">
        <v>33</v>
      </c>
      <c r="B4" s="8" t="s">
        <v>35</v>
      </c>
      <c r="C4" s="9">
        <f>IF(C203="","",IF(样本池!$E$6="原币",C203,IF(ISNUMBER(C203),C203*0.00485,C203)))</f>
        <v>103.979</v>
      </c>
      <c r="D4" s="9">
        <f>IF(D203="","",IF(样本池!$E$6="原币",D203,IF(ISNUMBER(D203),D203*0.00494,D203)))</f>
        <v>266.22300000000001</v>
      </c>
    </row>
    <row r="5" spans="1:4" ht="16.5" x14ac:dyDescent="0.35">
      <c r="A5" s="8" t="s">
        <v>33</v>
      </c>
      <c r="B5" s="8" t="s">
        <v>36</v>
      </c>
      <c r="C5" s="9">
        <f>IF(C204="","",IF(样本池!$E$6="原币",C204,IF(ISNUMBER(C204),C204*0.00485,C204)))</f>
        <v>157.589</v>
      </c>
      <c r="D5" s="9">
        <f>IF(D204="","",IF(样本池!$E$6="原币",D204,IF(ISNUMBER(D204),D204*0.00494,D204)))</f>
        <v>230.167</v>
      </c>
    </row>
    <row r="6" spans="1:4" ht="16.5" x14ac:dyDescent="0.35">
      <c r="A6" s="8" t="s">
        <v>33</v>
      </c>
      <c r="B6" s="8" t="s">
        <v>37</v>
      </c>
      <c r="C6" s="9">
        <f>IF(C205="","",IF(样本池!$E$6="原币",C205,IF(ISNUMBER(C205),C205*0.00485,C205)))</f>
        <v>522.35299999999995</v>
      </c>
      <c r="D6" s="9">
        <f>IF(D205="","",IF(样本池!$E$6="原币",D205,IF(ISNUMBER(D205),D205*0.00494,D205)))</f>
        <v>656.03399999999999</v>
      </c>
    </row>
    <row r="7" spans="1:4" ht="16.5" x14ac:dyDescent="0.35">
      <c r="A7" s="8" t="s">
        <v>38</v>
      </c>
      <c r="B7" s="8" t="s">
        <v>39</v>
      </c>
      <c r="C7" s="9">
        <f>IF(C206="","",IF(样本池!$E$6="原币",C206,IF(ISNUMBER(C206),C206*0.00485,C206)))</f>
        <v>375.57499999999999</v>
      </c>
      <c r="D7" s="9">
        <f>IF(D206="","",IF(样本池!$E$6="原币",D206,IF(ISNUMBER(D206),D206*0.00494,D206)))</f>
        <v>455.62700000000001</v>
      </c>
    </row>
    <row r="8" spans="1:4" ht="16.5" x14ac:dyDescent="0.35">
      <c r="A8" s="8" t="s">
        <v>38</v>
      </c>
      <c r="B8" s="8" t="s">
        <v>121</v>
      </c>
      <c r="C8" s="9">
        <f>IF(C207="","",IF(样本池!$E$6="原币",C207,IF(ISNUMBER(C207),C207*0.00485,C207)))</f>
        <v>1.41</v>
      </c>
      <c r="D8" s="9">
        <f>IF(D207="","",IF(样本池!$E$6="原币",D207,IF(ISNUMBER(D207),D207*0.00494,D207)))</f>
        <v>1.1859999999999999</v>
      </c>
    </row>
    <row r="9" spans="1:4" ht="16.5" x14ac:dyDescent="0.35">
      <c r="A9" s="8" t="s">
        <v>54</v>
      </c>
      <c r="B9" s="8" t="s">
        <v>41</v>
      </c>
      <c r="C9" s="9">
        <f>IF(C208="","",IF(样本池!$E$6="原币",C208,IF(ISNUMBER(C208),C208*0.00485,C208)))</f>
        <v>1073.1210000000001</v>
      </c>
      <c r="D9" s="9">
        <f>IF(D208="","",IF(样本池!$E$6="原币",D208,IF(ISNUMBER(D208),D208*0.00494,D208)))</f>
        <v>1192.229</v>
      </c>
    </row>
    <row r="10" spans="1:4" ht="16.5" x14ac:dyDescent="0.35">
      <c r="A10" s="8" t="s">
        <v>42</v>
      </c>
      <c r="B10" s="8" t="s">
        <v>43</v>
      </c>
      <c r="C10" s="9">
        <f>IF(C209="","",IF(样本池!$E$6="原币",C209,IF(ISNUMBER(C209),C209*0.00485,C209)))</f>
        <v>54.511000000000003</v>
      </c>
      <c r="D10" s="9">
        <f>IF(D209="","",IF(样本池!$E$6="原币",D209,IF(ISNUMBER(D209),D209*0.00494,D209)))</f>
        <v>83.965999999999994</v>
      </c>
    </row>
    <row r="11" spans="1:4" ht="16.5" x14ac:dyDescent="0.35">
      <c r="A11" s="8" t="s">
        <v>42</v>
      </c>
      <c r="B11" s="8" t="s">
        <v>44</v>
      </c>
      <c r="C11" s="9">
        <f>IF(C210="","",IF(样本池!$E$6="原币",C210,IF(ISNUMBER(C210),C210*0.00485,C210)))</f>
        <v>155.685</v>
      </c>
      <c r="D11" s="9">
        <f>IF(D210="","",IF(样本池!$E$6="原币",D210,IF(ISNUMBER(D210),D210*0.00494,D210)))</f>
        <v>183.708</v>
      </c>
    </row>
    <row r="12" spans="1:4" ht="16.5" x14ac:dyDescent="0.35">
      <c r="A12" s="8" t="s">
        <v>42</v>
      </c>
      <c r="B12" s="8" t="s">
        <v>45</v>
      </c>
      <c r="C12" s="9">
        <f>IF(C211="","",IF(样本池!$E$6="原币",C211,IF(ISNUMBER(C211),C211*0.00485,C211)))</f>
        <v>322.46300000000002</v>
      </c>
      <c r="D12" s="9">
        <f>IF(D211="","",IF(样本池!$E$6="原币",D211,IF(ISNUMBER(D211),D211*0.00494,D211)))</f>
        <v>429.089</v>
      </c>
    </row>
    <row r="13" spans="1:4" ht="16.5" x14ac:dyDescent="0.35">
      <c r="A13" s="8" t="s">
        <v>46</v>
      </c>
      <c r="B13" s="8" t="s">
        <v>47</v>
      </c>
      <c r="C13" s="9">
        <f>IF(C212="","",IF(样本池!$E$6="原币",C212,IF(ISNUMBER(C212),C212*0.00485,C212)))</f>
        <v>15.052</v>
      </c>
      <c r="D13" s="9">
        <f>IF(D212="","",IF(样本池!$E$6="原币",D212,IF(ISNUMBER(D212),D212*0.00494,D212)))</f>
        <v>21.126000000000001</v>
      </c>
    </row>
    <row r="14" spans="1:4" ht="16.5" x14ac:dyDescent="0.35">
      <c r="A14" s="8" t="s">
        <v>55</v>
      </c>
      <c r="B14" s="8" t="s">
        <v>49</v>
      </c>
      <c r="C14" s="9">
        <f>IF(C213="","",IF(样本池!$E$6="原币",C213,IF(ISNUMBER(C213),C213*0.00485,C213)))</f>
        <v>423.75</v>
      </c>
      <c r="D14" s="9">
        <f>IF(D213="","",IF(样本池!$E$6="原币",D213,IF(ISNUMBER(D213),D213*0.00494,D213)))</f>
        <v>519.46500000000003</v>
      </c>
    </row>
    <row r="15" spans="1:4" ht="16.5" x14ac:dyDescent="0.35">
      <c r="A15" s="8" t="s">
        <v>130</v>
      </c>
      <c r="B15" s="8" t="s">
        <v>123</v>
      </c>
      <c r="C15" s="9">
        <f>IF(C214="","",IF(样本池!$E$6="原币",C214,IF(ISNUMBER(C214),C214*0.00485,C214)))</f>
        <v>649.37099999999998</v>
      </c>
      <c r="D15" s="9">
        <f>IF(D214="","",IF(样本池!$E$6="原币",D214,IF(ISNUMBER(D214),D214*0.00494,D214)))</f>
        <v>672.76400000000001</v>
      </c>
    </row>
    <row r="16" spans="1:4" ht="16.5" x14ac:dyDescent="0.35">
      <c r="A16" s="8" t="s">
        <v>130</v>
      </c>
      <c r="B16" s="8" t="s">
        <v>50</v>
      </c>
      <c r="C16" s="9">
        <f>IF(C215="","",IF(样本池!$E$6="原币",C215,IF(ISNUMBER(C215),C215*0.00485,C215)))</f>
        <v>649.37099999999998</v>
      </c>
      <c r="D16" s="9">
        <f>IF(D215="","",IF(样本池!$E$6="原币",D215,IF(ISNUMBER(D215),D215*0.00494,D215)))</f>
        <v>672.76400000000001</v>
      </c>
    </row>
    <row r="17" spans="1:4" ht="16.5" x14ac:dyDescent="0.35">
      <c r="A17" s="8" t="s">
        <v>131</v>
      </c>
      <c r="B17" s="8" t="s">
        <v>51</v>
      </c>
      <c r="C17" s="9">
        <f>IF(C216="","",IF(样本池!$E$6="原币",C216,IF(ISNUMBER(C216),C216*0.00485,C216)))</f>
        <v>1073.1210000000001</v>
      </c>
      <c r="D17" s="9">
        <f>IF(D216="","",IF(样本池!$E$6="原币",D216,IF(ISNUMBER(D216),D216*0.00494,D216)))</f>
        <v>1192.229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127.479</v>
      </c>
      <c r="D202">
        <v>61.875</v>
      </c>
    </row>
    <row r="203" spans="3:4" ht="13.5" hidden="1" customHeight="1" x14ac:dyDescent="0.15">
      <c r="C203">
        <v>103.979</v>
      </c>
      <c r="D203">
        <v>266.22300000000001</v>
      </c>
    </row>
    <row r="204" spans="3:4" ht="13.5" hidden="1" customHeight="1" x14ac:dyDescent="0.15">
      <c r="C204">
        <v>157.589</v>
      </c>
      <c r="D204">
        <v>230.167</v>
      </c>
    </row>
    <row r="205" spans="3:4" ht="13.5" hidden="1" customHeight="1" x14ac:dyDescent="0.15">
      <c r="C205">
        <v>522.35299999999995</v>
      </c>
      <c r="D205">
        <v>656.03399999999999</v>
      </c>
    </row>
    <row r="206" spans="3:4" ht="13.5" hidden="1" customHeight="1" x14ac:dyDescent="0.15">
      <c r="C206">
        <v>375.57499999999999</v>
      </c>
      <c r="D206">
        <v>455.62700000000001</v>
      </c>
    </row>
    <row r="207" spans="3:4" ht="13.5" hidden="1" customHeight="1" x14ac:dyDescent="0.15">
      <c r="C207">
        <v>1.41</v>
      </c>
      <c r="D207">
        <v>1.1859999999999999</v>
      </c>
    </row>
    <row r="208" spans="3:4" ht="13.5" hidden="1" customHeight="1" x14ac:dyDescent="0.15">
      <c r="C208">
        <v>1073.1210000000001</v>
      </c>
      <c r="D208">
        <v>1192.229</v>
      </c>
    </row>
    <row r="209" spans="3:4" ht="13.5" hidden="1" customHeight="1" x14ac:dyDescent="0.15">
      <c r="C209">
        <v>54.511000000000003</v>
      </c>
      <c r="D209">
        <v>83.965999999999994</v>
      </c>
    </row>
    <row r="210" spans="3:4" ht="13.5" hidden="1" customHeight="1" x14ac:dyDescent="0.15">
      <c r="C210">
        <v>155.685</v>
      </c>
      <c r="D210">
        <v>183.708</v>
      </c>
    </row>
    <row r="211" spans="3:4" ht="13.5" hidden="1" customHeight="1" x14ac:dyDescent="0.15">
      <c r="C211">
        <v>322.46300000000002</v>
      </c>
      <c r="D211">
        <v>429.089</v>
      </c>
    </row>
    <row r="212" spans="3:4" ht="13.5" hidden="1" customHeight="1" x14ac:dyDescent="0.15">
      <c r="C212">
        <v>15.052</v>
      </c>
      <c r="D212">
        <v>21.126000000000001</v>
      </c>
    </row>
    <row r="213" spans="3:4" ht="13.5" hidden="1" customHeight="1" x14ac:dyDescent="0.15">
      <c r="C213">
        <v>423.75</v>
      </c>
      <c r="D213">
        <v>519.46500000000003</v>
      </c>
    </row>
    <row r="214" spans="3:4" ht="13.5" hidden="1" customHeight="1" x14ac:dyDescent="0.15">
      <c r="C214">
        <v>649.37099999999998</v>
      </c>
      <c r="D214">
        <v>672.76400000000001</v>
      </c>
    </row>
    <row r="215" spans="3:4" ht="13.5" hidden="1" customHeight="1" x14ac:dyDescent="0.15">
      <c r="C215">
        <v>649.37099999999998</v>
      </c>
      <c r="D215">
        <v>672.76400000000001</v>
      </c>
    </row>
    <row r="216" spans="3:4" ht="13.5" hidden="1" customHeight="1" x14ac:dyDescent="0.15">
      <c r="C216">
        <v>1073.1210000000001</v>
      </c>
      <c r="D216">
        <v>1192.229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1:D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528</v>
      </c>
      <c r="B1" s="5" t="s">
        <v>14</v>
      </c>
      <c r="C1" s="190" t="str">
        <f>"际诺思(013890)"&amp;IF(样本池!$E$6="统一RMB"," [KRW→RMB]","")</f>
        <v>际诺思(013890)</v>
      </c>
      <c r="D1" s="191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3" spans="1:4" ht="16.5" x14ac:dyDescent="0.35">
      <c r="A3" s="8" t="s">
        <v>56</v>
      </c>
      <c r="B3" s="8" t="s">
        <v>56</v>
      </c>
      <c r="C3" s="9">
        <f>IF(C202="","",IF(样本池!$E$6="原币",C202,IF(ISNUMBER(C202),C202*0.00505992307692307,C202)))</f>
        <v>913.18</v>
      </c>
      <c r="D3" s="9">
        <f>IF(D202="","",IF(样本池!$E$6="原币",D202,IF(ISNUMBER(D202),D202*0.00527992366412214,D202)))</f>
        <v>920.399</v>
      </c>
    </row>
    <row r="4" spans="1:4" ht="16.5" x14ac:dyDescent="0.35">
      <c r="A4" s="8" t="s">
        <v>56</v>
      </c>
      <c r="B4" s="8" t="s">
        <v>57</v>
      </c>
      <c r="C4" s="9">
        <f>IF(C203="","",IF(样本池!$E$6="原币",C203,IF(ISNUMBER(C203),C203*0.00505992307692307,C203)))</f>
        <v>595.72500000000002</v>
      </c>
      <c r="D4" s="9">
        <f>IF(D203="","",IF(样本池!$E$6="原币",D203,IF(ISNUMBER(D203),D203*0.00527992366412214,D203)))</f>
        <v>654.22900000000004</v>
      </c>
    </row>
    <row r="5" spans="1:4" ht="16.5" x14ac:dyDescent="0.35">
      <c r="A5" s="8" t="s">
        <v>132</v>
      </c>
      <c r="B5" s="8" t="s">
        <v>58</v>
      </c>
      <c r="C5" s="9">
        <f>IF(C204="","",IF(样本池!$E$6="原币",C204,IF(ISNUMBER(C204),C204*0.00505992307692307,C204)))</f>
        <v>317.45499999999998</v>
      </c>
      <c r="D5" s="9">
        <f>IF(D204="","",IF(样本池!$E$6="原币",D204,IF(ISNUMBER(D204),D204*0.00527992366412214,D204)))</f>
        <v>266.17</v>
      </c>
    </row>
    <row r="6" spans="1:4" ht="16.5" x14ac:dyDescent="0.35">
      <c r="A6" s="8" t="s">
        <v>59</v>
      </c>
      <c r="B6" s="8" t="s">
        <v>60</v>
      </c>
      <c r="C6" s="9">
        <f>IF(C205="","",IF(样本池!$E$6="原币",C205,IF(ISNUMBER(C205),C205*0.00505992307692307,C205)))</f>
        <v>4.6630000000000003</v>
      </c>
      <c r="D6" s="9">
        <f>IF(D205="","",IF(样本池!$E$6="原币",D205,IF(ISNUMBER(D205),D205*0.00527992366412214,D205)))</f>
        <v>5.2930000000000001</v>
      </c>
    </row>
    <row r="7" spans="1:4" ht="16.5" x14ac:dyDescent="0.35">
      <c r="A7" s="8" t="s">
        <v>59</v>
      </c>
      <c r="B7" s="8" t="s">
        <v>61</v>
      </c>
      <c r="C7" s="9">
        <f>IF(C206="","",IF(样本池!$E$6="原币",C206,IF(ISNUMBER(C206),C206*0.00505992307692307,C206)))</f>
        <v>254.27799999999999</v>
      </c>
      <c r="D7" s="9">
        <f>IF(D206="","",IF(样本池!$E$6="原币",D206,IF(ISNUMBER(D206),D206*0.00527992366412214,D206)))</f>
        <v>237.54300000000001</v>
      </c>
    </row>
    <row r="8" spans="1:4" ht="16.5" x14ac:dyDescent="0.35">
      <c r="A8" s="8" t="s">
        <v>59</v>
      </c>
      <c r="B8" s="8" t="s">
        <v>62</v>
      </c>
      <c r="C8" s="9">
        <f>IF(C207="","",IF(样本池!$E$6="原币",C207,IF(ISNUMBER(C207),C207*0.00505992307692307,C207)))</f>
        <v>292.02699999999999</v>
      </c>
      <c r="D8" s="9">
        <f>IF(D207="","",IF(样本池!$E$6="原币",D207,IF(ISNUMBER(D207),D207*0.00527992366412214,D207)))</f>
        <v>271.62599999999998</v>
      </c>
    </row>
    <row r="9" spans="1:4" ht="16.5" x14ac:dyDescent="0.35">
      <c r="A9" s="8" t="s">
        <v>132</v>
      </c>
      <c r="B9" s="8" t="s">
        <v>63</v>
      </c>
      <c r="C9" s="9">
        <f>IF(C208="","",IF(样本池!$E$6="原币",C208,IF(ISNUMBER(C208),C208*0.00505992307692307,C208)))</f>
        <v>25.428000000000001</v>
      </c>
      <c r="D9" s="9">
        <f>IF(D208="","",IF(样本池!$E$6="原币",D208,IF(ISNUMBER(D208),D208*0.00527992366412214,D208)))</f>
        <v>-5.4550000000000001</v>
      </c>
    </row>
    <row r="10" spans="1:4" ht="16.5" x14ac:dyDescent="0.35">
      <c r="A10" s="8" t="s">
        <v>133</v>
      </c>
      <c r="B10" s="8" t="s">
        <v>68</v>
      </c>
      <c r="C10" s="9">
        <f>IF(C209="","",IF(样本池!$E$6="原币",C209,IF(ISNUMBER(C209),C209*0.00505992307692307,C209)))</f>
        <v>-19.61</v>
      </c>
      <c r="D10" s="9">
        <f>IF(D209="","",IF(样本池!$E$6="原币",D209,IF(ISNUMBER(D209),D209*0.00527992366412214,D209)))</f>
        <v>-19.367999999999999</v>
      </c>
    </row>
    <row r="11" spans="1:4" ht="16.5" x14ac:dyDescent="0.35">
      <c r="A11" s="8" t="s">
        <v>132</v>
      </c>
      <c r="B11" s="8" t="s">
        <v>64</v>
      </c>
      <c r="C11" s="9">
        <f>IF(C210="","",IF(样本池!$E$6="原币",C210,IF(ISNUMBER(C210),C210*0.00505992307692307,C210)))</f>
        <v>-8.5120000000000005</v>
      </c>
      <c r="D11" s="9">
        <f>IF(D210="","",IF(样本池!$E$6="原币",D210,IF(ISNUMBER(D210),D210*0.00527992366412214,D210)))</f>
        <v>-5.6390000000000002</v>
      </c>
    </row>
    <row r="12" spans="1:4" ht="16.5" x14ac:dyDescent="0.35">
      <c r="A12" s="8" t="s">
        <v>134</v>
      </c>
      <c r="B12" s="8" t="s">
        <v>65</v>
      </c>
      <c r="C12" s="9">
        <f>IF(C211="","",IF(样本池!$E$6="原币",C211,IF(ISNUMBER(C211),C211*0.00505992307692307,C211)))</f>
        <v>9.9930000000000003</v>
      </c>
      <c r="D12" s="9">
        <f>IF(D211="","",IF(样本池!$E$6="原币",D211,IF(ISNUMBER(D211),D211*0.00527992366412214,D211)))</f>
        <v>1.159</v>
      </c>
    </row>
    <row r="13" spans="1:4" ht="16.5" x14ac:dyDescent="0.35">
      <c r="A13" s="8" t="s">
        <v>132</v>
      </c>
      <c r="B13" s="8" t="s">
        <v>66</v>
      </c>
      <c r="C13" s="9">
        <f>IF(C212="","",IF(样本池!$E$6="原币",C212,IF(ISNUMBER(C212),C212*0.00505992307692307,C212)))</f>
        <v>-18.506</v>
      </c>
      <c r="D13" s="9">
        <f>IF(D212="","",IF(样本池!$E$6="原币",D212,IF(ISNUMBER(D212),D212*0.00527992366412214,D212)))</f>
        <v>-6.798</v>
      </c>
    </row>
    <row r="14" spans="1:4" ht="16.5" x14ac:dyDescent="0.35">
      <c r="A14" s="8" t="s">
        <v>135</v>
      </c>
      <c r="B14" s="8" t="s">
        <v>126</v>
      </c>
      <c r="C14" s="9">
        <f>IF(C213="","",IF(样本池!$E$6="原币",C213,IF(ISNUMBER(C213),C213*0.00505992307692307,C213)))</f>
        <v>-844.01</v>
      </c>
      <c r="D14" s="9">
        <f>IF(D213="","",IF(样本池!$E$6="原币",D213,IF(ISNUMBER(D213),D213*0.00527992366412214,D213)))</f>
        <v>-309.52</v>
      </c>
    </row>
    <row r="15" spans="1:4" ht="16.5" x14ac:dyDescent="0.35">
      <c r="A15" s="8" t="s">
        <v>135</v>
      </c>
      <c r="B15" s="8" t="s">
        <v>127</v>
      </c>
      <c r="C15" s="9">
        <f>IF(C214="","",IF(样本池!$E$6="原币",C214,IF(ISNUMBER(C214),C214*0.00505992307692307,C214)))</f>
        <v>-844.01</v>
      </c>
      <c r="D15" s="9">
        <f>IF(D214="","",IF(样本池!$E$6="原币",D214,IF(ISNUMBER(D214),D214*0.00527992366412214,D214)))</f>
        <v>-310</v>
      </c>
    </row>
    <row r="200" spans="3:4" ht="13.5" hidden="1" customHeight="1" x14ac:dyDescent="0.15"/>
    <row r="201" spans="3:4" ht="13.5" hidden="1" customHeight="1" x14ac:dyDescent="0.15"/>
    <row r="202" spans="3:4" ht="13.5" hidden="1" customHeight="1" x14ac:dyDescent="0.15">
      <c r="C202">
        <v>913.18</v>
      </c>
      <c r="D202">
        <v>920.399</v>
      </c>
    </row>
    <row r="203" spans="3:4" ht="13.5" hidden="1" customHeight="1" x14ac:dyDescent="0.15">
      <c r="C203">
        <v>595.72500000000002</v>
      </c>
      <c r="D203">
        <v>654.22900000000004</v>
      </c>
    </row>
    <row r="204" spans="3:4" ht="13.5" hidden="1" customHeight="1" x14ac:dyDescent="0.15">
      <c r="C204">
        <v>317.45499999999998</v>
      </c>
      <c r="D204">
        <v>266.17</v>
      </c>
    </row>
    <row r="205" spans="3:4" ht="13.5" hidden="1" customHeight="1" x14ac:dyDescent="0.15">
      <c r="C205">
        <v>4.6630000000000003</v>
      </c>
      <c r="D205">
        <v>5.2930000000000001</v>
      </c>
    </row>
    <row r="206" spans="3:4" ht="13.5" hidden="1" customHeight="1" x14ac:dyDescent="0.15">
      <c r="C206">
        <v>254.27799999999999</v>
      </c>
      <c r="D206">
        <v>237.54300000000001</v>
      </c>
    </row>
    <row r="207" spans="3:4" ht="13.5" hidden="1" customHeight="1" x14ac:dyDescent="0.15">
      <c r="C207">
        <v>292.02699999999999</v>
      </c>
      <c r="D207">
        <v>271.62599999999998</v>
      </c>
    </row>
    <row r="208" spans="3:4" ht="13.5" hidden="1" customHeight="1" x14ac:dyDescent="0.15">
      <c r="C208">
        <v>25.428000000000001</v>
      </c>
      <c r="D208">
        <v>-5.4550000000000001</v>
      </c>
    </row>
    <row r="209" spans="3:4" ht="13.5" hidden="1" customHeight="1" x14ac:dyDescent="0.15">
      <c r="C209">
        <v>-19.61</v>
      </c>
      <c r="D209">
        <v>-19.367999999999999</v>
      </c>
    </row>
    <row r="210" spans="3:4" ht="13.5" hidden="1" customHeight="1" x14ac:dyDescent="0.15">
      <c r="C210">
        <v>-8.5120000000000005</v>
      </c>
      <c r="D210">
        <v>-5.6390000000000002</v>
      </c>
    </row>
    <row r="211" spans="3:4" ht="13.5" hidden="1" customHeight="1" x14ac:dyDescent="0.15">
      <c r="C211">
        <v>9.9930000000000003</v>
      </c>
      <c r="D211">
        <v>1.159</v>
      </c>
    </row>
    <row r="212" spans="3:4" ht="13.5" hidden="1" customHeight="1" x14ac:dyDescent="0.15">
      <c r="C212">
        <v>-18.506</v>
      </c>
      <c r="D212">
        <v>-6.798</v>
      </c>
    </row>
    <row r="213" spans="3:4" ht="13.5" hidden="1" customHeight="1" x14ac:dyDescent="0.15">
      <c r="C213">
        <v>-844.01</v>
      </c>
      <c r="D213">
        <v>-309.52</v>
      </c>
    </row>
    <row r="214" spans="3:4" ht="13.5" hidden="1" customHeight="1" x14ac:dyDescent="0.15">
      <c r="C214">
        <v>-844.01</v>
      </c>
      <c r="D214">
        <v>-310</v>
      </c>
    </row>
  </sheetData>
  <mergeCells count="1">
    <mergeCell ref="C1:D1"/>
  </mergeCells>
  <phoneticPr fontId="7" type="noConversion"/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21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spans="1:3" ht="21.95" customHeight="1" x14ac:dyDescent="0.15">
      <c r="A1" s="5" t="s">
        <v>528</v>
      </c>
      <c r="B1" s="5" t="s">
        <v>14</v>
      </c>
      <c r="C1" s="5" t="str">
        <f>"际诺思(013890)"&amp;IF(样本池!$E$6="统一RMB"," [KRW→RMB]","")</f>
        <v>际诺思(013890)</v>
      </c>
    </row>
    <row r="2" spans="1:3" ht="20.100000000000001" customHeight="1" x14ac:dyDescent="0.35">
      <c r="A2" s="6"/>
      <c r="B2" s="6"/>
      <c r="C2" s="7">
        <v>46022</v>
      </c>
    </row>
    <row r="3" spans="1:3" ht="16.5" x14ac:dyDescent="0.35">
      <c r="A3" s="8" t="s">
        <v>136</v>
      </c>
      <c r="B3" s="8" t="s">
        <v>66</v>
      </c>
      <c r="C3" s="9">
        <f>IF(C202="","",IF(样本池!$E$6="原币",C202,IF(ISNUMBER(C202),C202*0.00505992307692307,C202)))</f>
        <v>-18.506</v>
      </c>
    </row>
    <row r="4" spans="1:3" ht="16.5" x14ac:dyDescent="0.35">
      <c r="A4" s="8" t="s">
        <v>136</v>
      </c>
      <c r="B4" s="8" t="s">
        <v>69</v>
      </c>
      <c r="C4" s="9">
        <f>IF(C203="","",IF(样本池!$E$6="原币",C203,IF(ISNUMBER(C203),C203*0.00505992307692307,C203)))</f>
        <v>54.692999999999998</v>
      </c>
    </row>
    <row r="5" spans="1:3" ht="16.5" x14ac:dyDescent="0.35">
      <c r="A5" s="8" t="s">
        <v>136</v>
      </c>
      <c r="B5" s="8" t="s">
        <v>137</v>
      </c>
      <c r="C5" s="9">
        <f>IF(C204="","",IF(样本池!$E$6="原币",C204,IF(ISNUMBER(C204),C204*0.00505992307692307,C204)))</f>
        <v>152.83600000000001</v>
      </c>
    </row>
    <row r="6" spans="1:3" ht="16.5" x14ac:dyDescent="0.35">
      <c r="A6" s="8" t="s">
        <v>136</v>
      </c>
      <c r="B6" s="8" t="s">
        <v>70</v>
      </c>
      <c r="C6" s="9">
        <f>IF(C205="","",IF(样本池!$E$6="原币",C205,IF(ISNUMBER(C205),C205*0.00505992307692307,C205)))</f>
        <v>70.921000000000006</v>
      </c>
    </row>
    <row r="7" spans="1:3" ht="16.5" x14ac:dyDescent="0.35">
      <c r="A7" s="8" t="s">
        <v>136</v>
      </c>
      <c r="B7" s="8" t="s">
        <v>138</v>
      </c>
      <c r="C7" s="9">
        <f>IF(C206="","",IF(样本池!$E$6="原币",C206,IF(ISNUMBER(C206),C206*0.00505992307692307,C206)))</f>
        <v>-9.3940000000000001</v>
      </c>
    </row>
    <row r="8" spans="1:3" ht="16.5" x14ac:dyDescent="0.35">
      <c r="A8" s="8" t="s">
        <v>136</v>
      </c>
      <c r="B8" s="8" t="s">
        <v>71</v>
      </c>
      <c r="C8" s="9">
        <f>IF(C207="","",IF(样本池!$E$6="原币",C207,IF(ISNUMBER(C207),C207*0.00505992307692307,C207)))</f>
        <v>216.70599999999999</v>
      </c>
    </row>
    <row r="9" spans="1:3" ht="16.5" x14ac:dyDescent="0.35">
      <c r="A9" s="8" t="s">
        <v>139</v>
      </c>
      <c r="B9" s="8" t="s">
        <v>72</v>
      </c>
      <c r="C9" s="9">
        <f>IF(C208="","",IF(样本池!$E$6="原币",C208,IF(ISNUMBER(C208),C208*0.00505992307692307,C208)))</f>
        <v>-51.326999999999998</v>
      </c>
    </row>
    <row r="10" spans="1:3" ht="16.5" x14ac:dyDescent="0.35">
      <c r="A10" s="8" t="s">
        <v>139</v>
      </c>
      <c r="B10" s="8" t="s">
        <v>73</v>
      </c>
      <c r="C10" s="9">
        <f>IF(C209="","",IF(样本池!$E$6="原币",C209,IF(ISNUMBER(C209),C209*0.00505992307692307,C209)))</f>
        <v>-44.073</v>
      </c>
    </row>
    <row r="11" spans="1:3" ht="16.5" x14ac:dyDescent="0.35">
      <c r="A11" s="8" t="s">
        <v>140</v>
      </c>
      <c r="B11" s="8" t="s">
        <v>75</v>
      </c>
      <c r="C11" s="9">
        <f>IF(C210="","",IF(样本池!$E$6="原币",C210,IF(ISNUMBER(C210),C210*0.00505992307692307,C210)))</f>
        <v>-105.13200000000001</v>
      </c>
    </row>
    <row r="12" spans="1:3" ht="16.5" x14ac:dyDescent="0.35">
      <c r="A12" s="8" t="s">
        <v>141</v>
      </c>
      <c r="B12" s="8" t="s">
        <v>79</v>
      </c>
      <c r="C12" s="9">
        <f>IF(C211="","",IF(样本池!$E$6="原币",C211,IF(ISNUMBER(C211),C211*0.00505992307692307,C211)))</f>
        <v>-1.897</v>
      </c>
    </row>
    <row r="13" spans="1:3" ht="16.5" x14ac:dyDescent="0.35">
      <c r="A13" s="8" t="s">
        <v>141</v>
      </c>
      <c r="B13" s="8" t="s">
        <v>142</v>
      </c>
      <c r="C13" s="9">
        <f>IF(C212="","",IF(样本池!$E$6="原币",C212,IF(ISNUMBER(C212),C212*0.00505992307692307,C212)))</f>
        <v>65.603999999999999</v>
      </c>
    </row>
    <row r="14" spans="1:3" ht="16.5" x14ac:dyDescent="0.35">
      <c r="A14" s="8" t="s">
        <v>141</v>
      </c>
      <c r="B14" s="8" t="s">
        <v>143</v>
      </c>
      <c r="C14" s="9">
        <f>IF(C213="","",IF(样本池!$E$6="原币",C213,IF(ISNUMBER(C213),C213*0.00505992307692307,C213)))</f>
        <v>165.37899999999999</v>
      </c>
    </row>
    <row r="200" spans="3:3" ht="13.5" hidden="1" customHeight="1" x14ac:dyDescent="0.15"/>
    <row r="201" spans="3:3" ht="13.5" hidden="1" customHeight="1" x14ac:dyDescent="0.15"/>
    <row r="202" spans="3:3" ht="13.5" hidden="1" customHeight="1" x14ac:dyDescent="0.15">
      <c r="C202">
        <v>-18.506</v>
      </c>
    </row>
    <row r="203" spans="3:3" ht="13.5" hidden="1" customHeight="1" x14ac:dyDescent="0.15">
      <c r="C203">
        <v>54.692999999999998</v>
      </c>
    </row>
    <row r="204" spans="3:3" ht="13.5" hidden="1" customHeight="1" x14ac:dyDescent="0.15">
      <c r="C204">
        <v>152.83600000000001</v>
      </c>
    </row>
    <row r="205" spans="3:3" ht="13.5" hidden="1" customHeight="1" x14ac:dyDescent="0.15">
      <c r="C205">
        <v>70.921000000000006</v>
      </c>
    </row>
    <row r="206" spans="3:3" ht="13.5" hidden="1" customHeight="1" x14ac:dyDescent="0.15">
      <c r="C206">
        <v>-9.3940000000000001</v>
      </c>
    </row>
    <row r="207" spans="3:3" ht="13.5" hidden="1" customHeight="1" x14ac:dyDescent="0.15">
      <c r="C207">
        <v>216.70599999999999</v>
      </c>
    </row>
    <row r="208" spans="3:3" ht="13.5" hidden="1" customHeight="1" x14ac:dyDescent="0.15">
      <c r="C208">
        <v>-51.326999999999998</v>
      </c>
    </row>
    <row r="209" spans="3:3" ht="13.5" hidden="1" customHeight="1" x14ac:dyDescent="0.15">
      <c r="C209">
        <v>-44.073</v>
      </c>
    </row>
    <row r="210" spans="3:3" ht="13.5" hidden="1" customHeight="1" x14ac:dyDescent="0.15">
      <c r="C210">
        <v>-105.13200000000001</v>
      </c>
    </row>
    <row r="211" spans="3:3" ht="13.5" hidden="1" customHeight="1" x14ac:dyDescent="0.15">
      <c r="C211">
        <v>-1.897</v>
      </c>
    </row>
    <row r="212" spans="3:3" ht="13.5" hidden="1" customHeight="1" x14ac:dyDescent="0.15">
      <c r="C212">
        <v>65.603999999999999</v>
      </c>
    </row>
    <row r="213" spans="3:3" ht="13.5" hidden="1" customHeight="1" x14ac:dyDescent="0.15">
      <c r="C213">
        <v>165.37899999999999</v>
      </c>
    </row>
  </sheetData>
  <phoneticPr fontId="7" type="noConversion"/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D2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spans="1:4" ht="21.95" customHeight="1" x14ac:dyDescent="0.15">
      <c r="A1" s="5" t="s">
        <v>15</v>
      </c>
      <c r="B1" s="5" t="s">
        <v>14</v>
      </c>
      <c r="C1" s="5" t="s">
        <v>16</v>
      </c>
      <c r="D1" s="5" t="s">
        <v>519</v>
      </c>
    </row>
    <row r="2" spans="1:4" ht="20.100000000000001" customHeight="1" x14ac:dyDescent="0.15">
      <c r="A2" s="6"/>
      <c r="B2" s="6"/>
      <c r="C2" s="6"/>
      <c r="D2" s="13">
        <v>46022</v>
      </c>
    </row>
    <row r="3" spans="1:4" ht="16.5" x14ac:dyDescent="0.35">
      <c r="A3" s="8" t="s">
        <v>81</v>
      </c>
      <c r="B3" s="8" t="s">
        <v>82</v>
      </c>
      <c r="C3" s="8" t="s">
        <v>83</v>
      </c>
      <c r="D3" s="14">
        <f>IFERROR((韩股_利润表!C13)/(韩股_利润表!C3),"")</f>
        <v>-2.0265446023785015E-2</v>
      </c>
    </row>
    <row r="4" spans="1:4" ht="16.5" x14ac:dyDescent="0.35">
      <c r="A4" s="8" t="s">
        <v>81</v>
      </c>
      <c r="B4" s="8" t="s">
        <v>84</v>
      </c>
      <c r="C4" s="8" t="s">
        <v>85</v>
      </c>
      <c r="D4" s="14">
        <f>IFERROR((韩股_利润表!C5)/(韩股_利润表!C3),"")</f>
        <v>0.34763682954072583</v>
      </c>
    </row>
    <row r="5" spans="1:4" ht="16.5" x14ac:dyDescent="0.35">
      <c r="A5" s="8" t="s">
        <v>81</v>
      </c>
      <c r="B5" s="8" t="s">
        <v>86</v>
      </c>
      <c r="C5" s="8" t="s">
        <v>87</v>
      </c>
      <c r="D5" s="14">
        <f>IFERROR((韩股_利润表!C8)/(韩股_利润表!C3),"")</f>
        <v>0.31979127882783243</v>
      </c>
    </row>
    <row r="6" spans="1:4" ht="16.5" x14ac:dyDescent="0.35">
      <c r="A6" s="8" t="s">
        <v>81</v>
      </c>
      <c r="B6" s="8" t="s">
        <v>88</v>
      </c>
      <c r="C6" s="8" t="s">
        <v>89</v>
      </c>
      <c r="D6" s="14">
        <f>IFERROR((韩股_利润表!C13)/(AVERAGE(韩股_资产负债表!C9,韩股_资产负债表!D9)),"")</f>
        <v>-1.633831416778864E-2</v>
      </c>
    </row>
    <row r="7" spans="1:4" ht="16.5" x14ac:dyDescent="0.35">
      <c r="A7" s="8" t="s">
        <v>81</v>
      </c>
      <c r="B7" s="8" t="s">
        <v>90</v>
      </c>
      <c r="C7" s="8" t="s">
        <v>91</v>
      </c>
      <c r="D7" s="14">
        <f>IFERROR((韩股_利润表!C13)/(AVERAGE(韩股_资产负债表!C16,韩股_资产负债表!D16)),"")</f>
        <v>-2.7994115578212513E-2</v>
      </c>
    </row>
    <row r="8" spans="1:4" ht="16.5" x14ac:dyDescent="0.35">
      <c r="A8" s="8" t="s">
        <v>92</v>
      </c>
      <c r="B8" s="8" t="s">
        <v>93</v>
      </c>
      <c r="C8" s="8" t="s">
        <v>94</v>
      </c>
      <c r="D8" s="14">
        <f>IFERROR((韩股_资产负债表!C9)/(韩股_资产负债表!D9)-1,"")</f>
        <v>-9.9903625897373671E-2</v>
      </c>
    </row>
    <row r="9" spans="1:4" ht="16.5" x14ac:dyDescent="0.35">
      <c r="A9" s="8" t="s">
        <v>92</v>
      </c>
      <c r="B9" s="8" t="s">
        <v>95</v>
      </c>
      <c r="C9" s="8" t="s">
        <v>96</v>
      </c>
      <c r="D9" s="14">
        <f>IFERROR((韩股_利润表!C3)/(韩股_利润表!D3)-1,"")</f>
        <v>-7.8433375090586344E-3</v>
      </c>
    </row>
    <row r="10" spans="1:4" ht="16.5" x14ac:dyDescent="0.35">
      <c r="A10" s="8" t="s">
        <v>92</v>
      </c>
      <c r="B10" s="8" t="s">
        <v>97</v>
      </c>
      <c r="C10" s="8" t="s">
        <v>98</v>
      </c>
      <c r="D10" s="14">
        <f>IFERROR((韩股_利润表!C13)/(韩股_利润表!D13)-1,"")</f>
        <v>1.722271256251839</v>
      </c>
    </row>
    <row r="11" spans="1:4" ht="16.5" x14ac:dyDescent="0.35">
      <c r="A11" s="8" t="s">
        <v>99</v>
      </c>
      <c r="B11" s="8" t="s">
        <v>100</v>
      </c>
      <c r="C11" s="8" t="s">
        <v>101</v>
      </c>
      <c r="D11" s="15">
        <f>IFERROR((韩股_资产负债表!C6)/(韩股_资产负债表!C12),"")</f>
        <v>1.6198850720857894</v>
      </c>
    </row>
    <row r="12" spans="1:4" ht="16.5" x14ac:dyDescent="0.35">
      <c r="A12" s="8" t="s">
        <v>99</v>
      </c>
      <c r="B12" s="8" t="s">
        <v>102</v>
      </c>
      <c r="C12" s="8" t="s">
        <v>103</v>
      </c>
      <c r="D12" s="15">
        <f>IFERROR((韩股_资产负债表!C6-韩股_资产负债表!C5)/(韩股_资产负债表!C12),"")</f>
        <v>1.1311809416894338</v>
      </c>
    </row>
    <row r="13" spans="1:4" ht="16.5" x14ac:dyDescent="0.35">
      <c r="A13" s="8" t="s">
        <v>99</v>
      </c>
      <c r="B13" s="8" t="s">
        <v>104</v>
      </c>
      <c r="C13" s="8" t="s">
        <v>105</v>
      </c>
      <c r="D13" s="15">
        <f>IFERROR((韩股_资产负债表!C3)/(韩股_资产负债表!C12),"")</f>
        <v>0.39532907651420468</v>
      </c>
    </row>
    <row r="14" spans="1:4" ht="16.5" x14ac:dyDescent="0.35">
      <c r="A14" s="8" t="s">
        <v>99</v>
      </c>
      <c r="B14" s="8" t="s">
        <v>106</v>
      </c>
      <c r="C14" s="8" t="s">
        <v>107</v>
      </c>
      <c r="D14" s="14">
        <f>IFERROR((韩股_资产负债表!C14)/(韩股_资产负债表!C9),"")</f>
        <v>0.3948762534700187</v>
      </c>
    </row>
    <row r="15" spans="1:4" ht="16.5" x14ac:dyDescent="0.35">
      <c r="A15" s="8" t="s">
        <v>108</v>
      </c>
      <c r="B15" s="8" t="s">
        <v>109</v>
      </c>
      <c r="C15" s="8" t="s">
        <v>110</v>
      </c>
      <c r="D15" s="15">
        <f>IFERROR((AVERAGE(韩股_资产负债表!C5,韩股_资产负债表!D5)*365)/(韩股_利润表!C4),"")</f>
        <v>118.78882034495783</v>
      </c>
    </row>
    <row r="16" spans="1:4" ht="16.5" x14ac:dyDescent="0.35">
      <c r="A16" s="8" t="s">
        <v>108</v>
      </c>
      <c r="B16" s="8" t="s">
        <v>111</v>
      </c>
      <c r="C16" s="8" t="s">
        <v>112</v>
      </c>
      <c r="D16" s="15">
        <f>IFERROR((AVERAGE(韩股_资产负债表!C4,韩股_资产负债表!D4)*365)/(韩股_利润表!C3),"")</f>
        <v>73.985265774546107</v>
      </c>
    </row>
    <row r="17" spans="1:4" ht="16.5" x14ac:dyDescent="0.35">
      <c r="A17" s="8" t="s">
        <v>108</v>
      </c>
      <c r="B17" s="8" t="s">
        <v>113</v>
      </c>
      <c r="C17" s="8" t="s">
        <v>114</v>
      </c>
      <c r="D17" s="15">
        <f>IFERROR((AVERAGE(韩股_资产负债表!C10,韩股_资产负债表!D10)*365)/(韩股_利润表!C4),"")</f>
        <v>42.422346720382727</v>
      </c>
    </row>
    <row r="18" spans="1:4" ht="16.5" x14ac:dyDescent="0.35">
      <c r="A18" s="8" t="s">
        <v>108</v>
      </c>
      <c r="B18" s="8" t="s">
        <v>115</v>
      </c>
      <c r="C18" s="8" t="s">
        <v>116</v>
      </c>
      <c r="D18" s="15">
        <f>IFERROR(IF(OR(D15="",D16="",D17=""),"",D15+D16-D17),"")</f>
        <v>150.35173939912119</v>
      </c>
    </row>
    <row r="19" spans="1:4" ht="16.5" x14ac:dyDescent="0.35">
      <c r="A19" s="8" t="s">
        <v>108</v>
      </c>
      <c r="B19" s="8" t="s">
        <v>117</v>
      </c>
      <c r="C19" s="8" t="s">
        <v>118</v>
      </c>
      <c r="D19" s="15">
        <f>IFERROR((韩股_利润表!C3)/(AVERAGE(韩股_资产负债表!C6,韩股_资产负债表!D6)),"")</f>
        <v>1.5498813208224462</v>
      </c>
    </row>
    <row r="20" spans="1:4" ht="16.5" x14ac:dyDescent="0.35">
      <c r="A20" s="8" t="s">
        <v>108</v>
      </c>
      <c r="B20" s="8" t="s">
        <v>119</v>
      </c>
      <c r="C20" s="8" t="s">
        <v>120</v>
      </c>
      <c r="D20" s="15">
        <f>IFERROR((韩股_利润表!C3)/(AVERAGE(韩股_资产负债表!C9,韩股_资产负债表!D9)),"")</f>
        <v>0.80621537510759911</v>
      </c>
    </row>
  </sheetData>
  <phoneticPr fontId="7" type="noConversion"/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1:Q46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92" t="s">
        <v>31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</row>
    <row r="2" spans="1:17" ht="20.100000000000001" customHeight="1" x14ac:dyDescent="0.15">
      <c r="A2" s="2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2" t="s">
        <v>28</v>
      </c>
      <c r="J2" s="3" t="s">
        <v>29</v>
      </c>
      <c r="K2" s="4" t="s">
        <v>32</v>
      </c>
      <c r="L2" s="75" t="s">
        <v>529</v>
      </c>
      <c r="M2" s="75" t="s">
        <v>530</v>
      </c>
      <c r="N2" s="75" t="s">
        <v>531</v>
      </c>
      <c r="O2" s="75" t="s">
        <v>532</v>
      </c>
      <c r="P2" s="75" t="s">
        <v>533</v>
      </c>
      <c r="Q2" s="75" t="s">
        <v>534</v>
      </c>
    </row>
    <row r="3" spans="1:17" ht="14.25" x14ac:dyDescent="0.15">
      <c r="A3" s="10" t="s">
        <v>514</v>
      </c>
      <c r="B3" s="11" t="s">
        <v>52</v>
      </c>
      <c r="C3" s="11" t="s">
        <v>34</v>
      </c>
      <c r="D3" s="11" t="s">
        <v>387</v>
      </c>
      <c r="E3" s="11" t="s">
        <v>388</v>
      </c>
      <c r="F3" s="11" t="s">
        <v>389</v>
      </c>
      <c r="G3" s="11" t="s">
        <v>390</v>
      </c>
      <c r="H3" s="11" t="s">
        <v>391</v>
      </c>
      <c r="I3" s="74">
        <v>46023</v>
      </c>
      <c r="J3" s="11" t="s">
        <v>392</v>
      </c>
      <c r="K3" s="12">
        <v>1</v>
      </c>
    </row>
    <row r="4" spans="1:17" ht="14.25" x14ac:dyDescent="0.15">
      <c r="A4" s="10" t="s">
        <v>514</v>
      </c>
      <c r="B4" s="11" t="s">
        <v>52</v>
      </c>
      <c r="C4" s="11" t="s">
        <v>35</v>
      </c>
      <c r="D4" s="11" t="s">
        <v>387</v>
      </c>
      <c r="E4" s="11" t="s">
        <v>388</v>
      </c>
      <c r="F4" s="11" t="s">
        <v>389</v>
      </c>
      <c r="G4" s="11" t="s">
        <v>393</v>
      </c>
      <c r="H4" s="11" t="s">
        <v>391</v>
      </c>
      <c r="I4" s="74">
        <v>46024</v>
      </c>
      <c r="J4" s="11" t="s">
        <v>392</v>
      </c>
      <c r="K4" s="12">
        <v>1</v>
      </c>
    </row>
    <row r="5" spans="1:17" ht="14.25" x14ac:dyDescent="0.15">
      <c r="A5" s="10" t="s">
        <v>514</v>
      </c>
      <c r="B5" s="11" t="s">
        <v>52</v>
      </c>
      <c r="C5" s="11" t="s">
        <v>36</v>
      </c>
      <c r="D5" s="11" t="s">
        <v>387</v>
      </c>
      <c r="E5" s="11" t="s">
        <v>388</v>
      </c>
      <c r="F5" s="11" t="s">
        <v>389</v>
      </c>
      <c r="G5" s="11" t="s">
        <v>36</v>
      </c>
      <c r="H5" s="11" t="s">
        <v>391</v>
      </c>
      <c r="I5" s="74">
        <v>46023</v>
      </c>
      <c r="J5" s="11" t="s">
        <v>392</v>
      </c>
      <c r="K5" s="12">
        <v>1</v>
      </c>
    </row>
    <row r="6" spans="1:17" ht="14.25" x14ac:dyDescent="0.15">
      <c r="A6" s="10" t="s">
        <v>514</v>
      </c>
      <c r="B6" s="11" t="s">
        <v>52</v>
      </c>
      <c r="C6" s="11" t="s">
        <v>37</v>
      </c>
      <c r="D6" s="11" t="s">
        <v>387</v>
      </c>
      <c r="E6" s="11" t="s">
        <v>388</v>
      </c>
      <c r="F6" s="11" t="s">
        <v>389</v>
      </c>
      <c r="G6" s="11" t="s">
        <v>394</v>
      </c>
      <c r="H6" s="11" t="s">
        <v>391</v>
      </c>
      <c r="I6" s="74">
        <v>46023</v>
      </c>
      <c r="J6" s="11" t="s">
        <v>392</v>
      </c>
      <c r="K6" s="12">
        <v>1</v>
      </c>
    </row>
    <row r="7" spans="1:17" ht="14.25" x14ac:dyDescent="0.15">
      <c r="A7" s="10" t="s">
        <v>514</v>
      </c>
      <c r="B7" s="11" t="s">
        <v>52</v>
      </c>
      <c r="C7" s="11" t="s">
        <v>39</v>
      </c>
      <c r="D7" s="11" t="s">
        <v>387</v>
      </c>
      <c r="E7" s="11" t="s">
        <v>388</v>
      </c>
      <c r="F7" s="11" t="s">
        <v>389</v>
      </c>
      <c r="G7" s="11" t="s">
        <v>395</v>
      </c>
      <c r="H7" s="11" t="s">
        <v>391</v>
      </c>
      <c r="I7" s="74">
        <v>46023</v>
      </c>
      <c r="J7" s="11" t="s">
        <v>392</v>
      </c>
      <c r="K7" s="12">
        <v>1</v>
      </c>
    </row>
    <row r="8" spans="1:17" ht="14.25" x14ac:dyDescent="0.15">
      <c r="A8" s="10" t="s">
        <v>514</v>
      </c>
      <c r="B8" s="11" t="s">
        <v>52</v>
      </c>
      <c r="C8" s="11" t="s">
        <v>121</v>
      </c>
      <c r="D8" s="11" t="s">
        <v>387</v>
      </c>
      <c r="E8" s="11" t="s">
        <v>388</v>
      </c>
      <c r="F8" s="11" t="s">
        <v>389</v>
      </c>
      <c r="G8" s="11" t="s">
        <v>396</v>
      </c>
      <c r="H8" s="11" t="s">
        <v>391</v>
      </c>
      <c r="I8" s="74">
        <v>46024</v>
      </c>
      <c r="J8" s="11" t="s">
        <v>392</v>
      </c>
      <c r="K8" s="12">
        <v>1</v>
      </c>
    </row>
    <row r="9" spans="1:17" ht="14.25" x14ac:dyDescent="0.15">
      <c r="A9" s="10" t="s">
        <v>514</v>
      </c>
      <c r="B9" s="11" t="s">
        <v>52</v>
      </c>
      <c r="C9" s="11" t="s">
        <v>40</v>
      </c>
      <c r="D9" s="11" t="s">
        <v>53</v>
      </c>
      <c r="E9" s="11" t="s">
        <v>388</v>
      </c>
      <c r="F9" s="11" t="s">
        <v>389</v>
      </c>
      <c r="G9" s="11" t="s">
        <v>78</v>
      </c>
      <c r="H9" s="11" t="s">
        <v>391</v>
      </c>
      <c r="I9" s="74" t="s">
        <v>78</v>
      </c>
      <c r="J9" s="11" t="s">
        <v>397</v>
      </c>
      <c r="K9" s="12">
        <v>1</v>
      </c>
    </row>
    <row r="10" spans="1:17" ht="14.25" x14ac:dyDescent="0.15">
      <c r="A10" s="10" t="s">
        <v>514</v>
      </c>
      <c r="B10" s="11" t="s">
        <v>52</v>
      </c>
      <c r="C10" s="11" t="s">
        <v>41</v>
      </c>
      <c r="D10" s="11" t="s">
        <v>387</v>
      </c>
      <c r="E10" s="11" t="s">
        <v>388</v>
      </c>
      <c r="F10" s="11" t="s">
        <v>389</v>
      </c>
      <c r="G10" s="11" t="s">
        <v>398</v>
      </c>
      <c r="H10" s="11" t="s">
        <v>391</v>
      </c>
      <c r="I10" s="74">
        <v>46023</v>
      </c>
      <c r="J10" s="11" t="s">
        <v>392</v>
      </c>
      <c r="K10" s="12">
        <v>1</v>
      </c>
    </row>
    <row r="11" spans="1:17" ht="14.25" x14ac:dyDescent="0.15">
      <c r="A11" s="10" t="s">
        <v>514</v>
      </c>
      <c r="B11" s="11" t="s">
        <v>52</v>
      </c>
      <c r="C11" s="11" t="s">
        <v>43</v>
      </c>
      <c r="D11" s="11" t="s">
        <v>387</v>
      </c>
      <c r="E11" s="11" t="s">
        <v>388</v>
      </c>
      <c r="F11" s="11" t="s">
        <v>389</v>
      </c>
      <c r="G11" s="11" t="s">
        <v>399</v>
      </c>
      <c r="H11" s="11" t="s">
        <v>391</v>
      </c>
      <c r="I11" s="74">
        <v>46023</v>
      </c>
      <c r="J11" s="11" t="s">
        <v>392</v>
      </c>
      <c r="K11" s="12">
        <v>1</v>
      </c>
    </row>
    <row r="12" spans="1:17" ht="14.25" x14ac:dyDescent="0.15">
      <c r="A12" s="10" t="s">
        <v>514</v>
      </c>
      <c r="B12" s="11" t="s">
        <v>52</v>
      </c>
      <c r="C12" s="11" t="s">
        <v>44</v>
      </c>
      <c r="D12" s="11" t="s">
        <v>387</v>
      </c>
      <c r="E12" s="11" t="s">
        <v>388</v>
      </c>
      <c r="F12" s="11" t="s">
        <v>389</v>
      </c>
      <c r="G12" s="11" t="s">
        <v>400</v>
      </c>
      <c r="H12" s="11" t="s">
        <v>391</v>
      </c>
      <c r="I12" s="74">
        <v>46024</v>
      </c>
      <c r="J12" s="11" t="s">
        <v>392</v>
      </c>
      <c r="K12" s="12">
        <v>1</v>
      </c>
    </row>
    <row r="13" spans="1:17" ht="14.25" x14ac:dyDescent="0.15">
      <c r="A13" s="10" t="s">
        <v>514</v>
      </c>
      <c r="B13" s="11" t="s">
        <v>52</v>
      </c>
      <c r="C13" s="11" t="s">
        <v>45</v>
      </c>
      <c r="D13" s="11" t="s">
        <v>387</v>
      </c>
      <c r="E13" s="11" t="s">
        <v>388</v>
      </c>
      <c r="F13" s="11" t="s">
        <v>389</v>
      </c>
      <c r="G13" s="11" t="s">
        <v>401</v>
      </c>
      <c r="H13" s="11" t="s">
        <v>391</v>
      </c>
      <c r="I13" s="74">
        <v>46023</v>
      </c>
      <c r="J13" s="11" t="s">
        <v>392</v>
      </c>
      <c r="K13" s="12">
        <v>1</v>
      </c>
    </row>
    <row r="14" spans="1:17" ht="14.25" x14ac:dyDescent="0.15">
      <c r="A14" s="10" t="s">
        <v>514</v>
      </c>
      <c r="B14" s="11" t="s">
        <v>52</v>
      </c>
      <c r="C14" s="11" t="s">
        <v>47</v>
      </c>
      <c r="D14" s="11" t="s">
        <v>387</v>
      </c>
      <c r="E14" s="11" t="s">
        <v>388</v>
      </c>
      <c r="F14" s="11" t="s">
        <v>389</v>
      </c>
      <c r="G14" s="11" t="s">
        <v>402</v>
      </c>
      <c r="H14" s="11" t="s">
        <v>391</v>
      </c>
      <c r="I14" s="74">
        <v>46023</v>
      </c>
      <c r="J14" s="11" t="s">
        <v>392</v>
      </c>
      <c r="K14" s="12">
        <v>1</v>
      </c>
    </row>
    <row r="15" spans="1:17" ht="14.25" x14ac:dyDescent="0.15">
      <c r="A15" s="10" t="s">
        <v>514</v>
      </c>
      <c r="B15" s="11" t="s">
        <v>52</v>
      </c>
      <c r="C15" s="11" t="s">
        <v>48</v>
      </c>
      <c r="D15" s="11" t="s">
        <v>53</v>
      </c>
      <c r="E15" s="11" t="s">
        <v>388</v>
      </c>
      <c r="F15" s="11" t="s">
        <v>389</v>
      </c>
      <c r="G15" s="11" t="s">
        <v>78</v>
      </c>
      <c r="H15" s="11" t="s">
        <v>391</v>
      </c>
      <c r="I15" s="74" t="s">
        <v>78</v>
      </c>
      <c r="J15" s="11" t="s">
        <v>397</v>
      </c>
      <c r="K15" s="12">
        <v>1</v>
      </c>
    </row>
    <row r="16" spans="1:17" ht="14.25" x14ac:dyDescent="0.15">
      <c r="A16" s="10" t="s">
        <v>514</v>
      </c>
      <c r="B16" s="11" t="s">
        <v>52</v>
      </c>
      <c r="C16" s="11" t="s">
        <v>49</v>
      </c>
      <c r="D16" s="11" t="s">
        <v>387</v>
      </c>
      <c r="E16" s="11" t="s">
        <v>388</v>
      </c>
      <c r="F16" s="11" t="s">
        <v>389</v>
      </c>
      <c r="G16" s="11" t="s">
        <v>403</v>
      </c>
      <c r="H16" s="11" t="s">
        <v>391</v>
      </c>
      <c r="I16" s="74">
        <v>46023</v>
      </c>
      <c r="J16" s="11" t="s">
        <v>392</v>
      </c>
      <c r="K16" s="12">
        <v>1</v>
      </c>
    </row>
    <row r="17" spans="1:11" ht="14.25" x14ac:dyDescent="0.15">
      <c r="A17" s="10" t="s">
        <v>514</v>
      </c>
      <c r="B17" s="11" t="s">
        <v>52</v>
      </c>
      <c r="C17" s="11" t="s">
        <v>122</v>
      </c>
      <c r="D17" s="11" t="s">
        <v>53</v>
      </c>
      <c r="E17" s="11" t="s">
        <v>388</v>
      </c>
      <c r="F17" s="11" t="s">
        <v>389</v>
      </c>
      <c r="G17" s="11" t="s">
        <v>78</v>
      </c>
      <c r="H17" s="11" t="s">
        <v>391</v>
      </c>
      <c r="I17" s="74" t="s">
        <v>78</v>
      </c>
      <c r="J17" s="11" t="s">
        <v>397</v>
      </c>
      <c r="K17" s="12">
        <v>1</v>
      </c>
    </row>
    <row r="18" spans="1:11" ht="14.25" x14ac:dyDescent="0.15">
      <c r="A18" s="10" t="s">
        <v>514</v>
      </c>
      <c r="B18" s="11" t="s">
        <v>52</v>
      </c>
      <c r="C18" s="11" t="s">
        <v>123</v>
      </c>
      <c r="D18" s="11" t="s">
        <v>387</v>
      </c>
      <c r="E18" s="11" t="s">
        <v>388</v>
      </c>
      <c r="F18" s="11" t="s">
        <v>389</v>
      </c>
      <c r="G18" s="11" t="s">
        <v>404</v>
      </c>
      <c r="H18" s="11" t="s">
        <v>391</v>
      </c>
      <c r="I18" s="74">
        <v>46024</v>
      </c>
      <c r="J18" s="11" t="s">
        <v>392</v>
      </c>
      <c r="K18" s="12">
        <v>1</v>
      </c>
    </row>
    <row r="19" spans="1:11" ht="14.25" x14ac:dyDescent="0.15">
      <c r="A19" s="10" t="s">
        <v>514</v>
      </c>
      <c r="B19" s="11" t="s">
        <v>52</v>
      </c>
      <c r="C19" s="11" t="s">
        <v>50</v>
      </c>
      <c r="D19" s="11" t="s">
        <v>387</v>
      </c>
      <c r="E19" s="11" t="s">
        <v>388</v>
      </c>
      <c r="F19" s="11" t="s">
        <v>389</v>
      </c>
      <c r="G19" s="11" t="s">
        <v>404</v>
      </c>
      <c r="H19" s="11" t="s">
        <v>391</v>
      </c>
      <c r="I19" s="74">
        <v>46024</v>
      </c>
      <c r="J19" s="11" t="s">
        <v>392</v>
      </c>
      <c r="K19" s="12">
        <v>1</v>
      </c>
    </row>
    <row r="20" spans="1:11" ht="14.25" x14ac:dyDescent="0.15">
      <c r="A20" s="10" t="s">
        <v>514</v>
      </c>
      <c r="B20" s="11" t="s">
        <v>52</v>
      </c>
      <c r="C20" s="11" t="s">
        <v>51</v>
      </c>
      <c r="D20" s="11" t="s">
        <v>387</v>
      </c>
      <c r="E20" s="11" t="s">
        <v>388</v>
      </c>
      <c r="F20" s="11" t="s">
        <v>389</v>
      </c>
      <c r="G20" s="11" t="s">
        <v>405</v>
      </c>
      <c r="H20" s="11" t="s">
        <v>391</v>
      </c>
      <c r="I20" s="74">
        <v>46023</v>
      </c>
      <c r="J20" s="11" t="s">
        <v>392</v>
      </c>
      <c r="K20" s="12">
        <v>1</v>
      </c>
    </row>
    <row r="21" spans="1:11" ht="14.25" x14ac:dyDescent="0.15">
      <c r="A21" s="10" t="s">
        <v>514</v>
      </c>
      <c r="B21" s="11" t="s">
        <v>67</v>
      </c>
      <c r="C21" s="11" t="s">
        <v>56</v>
      </c>
      <c r="D21" s="11" t="s">
        <v>387</v>
      </c>
      <c r="E21" s="11" t="s">
        <v>388</v>
      </c>
      <c r="F21" s="11" t="s">
        <v>389</v>
      </c>
      <c r="G21" s="11" t="s">
        <v>56</v>
      </c>
      <c r="H21" s="11" t="s">
        <v>391</v>
      </c>
      <c r="I21" s="74">
        <v>46023</v>
      </c>
      <c r="J21" s="11" t="s">
        <v>392</v>
      </c>
      <c r="K21" s="12">
        <v>1</v>
      </c>
    </row>
    <row r="22" spans="1:11" ht="14.25" x14ac:dyDescent="0.15">
      <c r="A22" s="10" t="s">
        <v>514</v>
      </c>
      <c r="B22" s="11" t="s">
        <v>67</v>
      </c>
      <c r="C22" s="11" t="s">
        <v>57</v>
      </c>
      <c r="D22" s="11" t="s">
        <v>387</v>
      </c>
      <c r="E22" s="11" t="s">
        <v>388</v>
      </c>
      <c r="F22" s="11" t="s">
        <v>389</v>
      </c>
      <c r="G22" s="11" t="s">
        <v>406</v>
      </c>
      <c r="H22" s="11" t="s">
        <v>391</v>
      </c>
      <c r="I22" s="74">
        <v>46023</v>
      </c>
      <c r="J22" s="11" t="s">
        <v>392</v>
      </c>
      <c r="K22" s="12">
        <v>1</v>
      </c>
    </row>
    <row r="23" spans="1:11" ht="14.25" x14ac:dyDescent="0.15">
      <c r="A23" s="10" t="s">
        <v>514</v>
      </c>
      <c r="B23" s="11" t="s">
        <v>67</v>
      </c>
      <c r="C23" s="11" t="s">
        <v>58</v>
      </c>
      <c r="D23" s="11" t="s">
        <v>387</v>
      </c>
      <c r="E23" s="11" t="s">
        <v>388</v>
      </c>
      <c r="F23" s="11" t="s">
        <v>389</v>
      </c>
      <c r="G23" s="11" t="s">
        <v>407</v>
      </c>
      <c r="H23" s="11" t="s">
        <v>391</v>
      </c>
      <c r="I23" s="74">
        <v>46023</v>
      </c>
      <c r="J23" s="11" t="s">
        <v>392</v>
      </c>
      <c r="K23" s="12">
        <v>1</v>
      </c>
    </row>
    <row r="24" spans="1:11" ht="14.25" x14ac:dyDescent="0.15">
      <c r="A24" s="10" t="s">
        <v>514</v>
      </c>
      <c r="B24" s="11" t="s">
        <v>67</v>
      </c>
      <c r="C24" s="11" t="s">
        <v>60</v>
      </c>
      <c r="D24" s="11" t="s">
        <v>387</v>
      </c>
      <c r="E24" s="11" t="s">
        <v>388</v>
      </c>
      <c r="F24" s="11" t="s">
        <v>389</v>
      </c>
      <c r="G24" s="11" t="s">
        <v>408</v>
      </c>
      <c r="H24" s="11" t="s">
        <v>391</v>
      </c>
      <c r="I24" s="74">
        <v>46023</v>
      </c>
      <c r="J24" s="11" t="s">
        <v>392</v>
      </c>
      <c r="K24" s="12">
        <v>1</v>
      </c>
    </row>
    <row r="25" spans="1:11" ht="14.25" x14ac:dyDescent="0.15">
      <c r="A25" s="10" t="s">
        <v>514</v>
      </c>
      <c r="B25" s="11" t="s">
        <v>67</v>
      </c>
      <c r="C25" s="11" t="s">
        <v>61</v>
      </c>
      <c r="D25" s="11" t="s">
        <v>387</v>
      </c>
      <c r="E25" s="11" t="s">
        <v>388</v>
      </c>
      <c r="F25" s="11" t="s">
        <v>389</v>
      </c>
      <c r="G25" s="11" t="s">
        <v>409</v>
      </c>
      <c r="H25" s="11" t="s">
        <v>391</v>
      </c>
      <c r="I25" s="74">
        <v>46023</v>
      </c>
      <c r="J25" s="11" t="s">
        <v>392</v>
      </c>
      <c r="K25" s="12">
        <v>1</v>
      </c>
    </row>
    <row r="26" spans="1:11" ht="14.25" x14ac:dyDescent="0.15">
      <c r="A26" s="10" t="s">
        <v>514</v>
      </c>
      <c r="B26" s="11" t="s">
        <v>67</v>
      </c>
      <c r="C26" s="11" t="s">
        <v>62</v>
      </c>
      <c r="D26" s="11" t="s">
        <v>387</v>
      </c>
      <c r="E26" s="11" t="s">
        <v>388</v>
      </c>
      <c r="F26" s="11" t="s">
        <v>389</v>
      </c>
      <c r="G26" s="11" t="s">
        <v>59</v>
      </c>
      <c r="H26" s="11" t="s">
        <v>391</v>
      </c>
      <c r="I26" s="74">
        <v>46023</v>
      </c>
      <c r="J26" s="11" t="s">
        <v>392</v>
      </c>
      <c r="K26" s="12">
        <v>1</v>
      </c>
    </row>
    <row r="27" spans="1:11" ht="14.25" x14ac:dyDescent="0.15">
      <c r="A27" s="10" t="s">
        <v>514</v>
      </c>
      <c r="B27" s="11" t="s">
        <v>67</v>
      </c>
      <c r="C27" s="11" t="s">
        <v>63</v>
      </c>
      <c r="D27" s="11" t="s">
        <v>387</v>
      </c>
      <c r="E27" s="11" t="s">
        <v>388</v>
      </c>
      <c r="F27" s="11" t="s">
        <v>389</v>
      </c>
      <c r="G27" s="11" t="s">
        <v>410</v>
      </c>
      <c r="H27" s="11" t="s">
        <v>391</v>
      </c>
      <c r="I27" s="74">
        <v>46023</v>
      </c>
      <c r="J27" s="11" t="s">
        <v>392</v>
      </c>
      <c r="K27" s="12">
        <v>1</v>
      </c>
    </row>
    <row r="28" spans="1:11" ht="14.25" x14ac:dyDescent="0.15">
      <c r="A28" s="10" t="s">
        <v>514</v>
      </c>
      <c r="B28" s="11" t="s">
        <v>67</v>
      </c>
      <c r="C28" s="11" t="s">
        <v>68</v>
      </c>
      <c r="D28" s="11" t="s">
        <v>387</v>
      </c>
      <c r="E28" s="11" t="s">
        <v>388</v>
      </c>
      <c r="F28" s="11" t="s">
        <v>389</v>
      </c>
      <c r="G28" s="11" t="s">
        <v>411</v>
      </c>
      <c r="H28" s="11" t="s">
        <v>391</v>
      </c>
      <c r="I28" s="74">
        <v>46023</v>
      </c>
      <c r="J28" s="11" t="s">
        <v>392</v>
      </c>
      <c r="K28" s="12">
        <v>1</v>
      </c>
    </row>
    <row r="29" spans="1:11" ht="14.25" x14ac:dyDescent="0.15">
      <c r="A29" s="10" t="s">
        <v>514</v>
      </c>
      <c r="B29" s="11" t="s">
        <v>67</v>
      </c>
      <c r="C29" s="11" t="s">
        <v>64</v>
      </c>
      <c r="D29" s="11" t="s">
        <v>387</v>
      </c>
      <c r="E29" s="11" t="s">
        <v>388</v>
      </c>
      <c r="F29" s="11" t="s">
        <v>389</v>
      </c>
      <c r="G29" s="11" t="s">
        <v>412</v>
      </c>
      <c r="H29" s="11" t="s">
        <v>391</v>
      </c>
      <c r="I29" s="74">
        <v>46024</v>
      </c>
      <c r="J29" s="11" t="s">
        <v>392</v>
      </c>
      <c r="K29" s="12">
        <v>1</v>
      </c>
    </row>
    <row r="30" spans="1:11" ht="14.25" x14ac:dyDescent="0.15">
      <c r="A30" s="10" t="s">
        <v>514</v>
      </c>
      <c r="B30" s="11" t="s">
        <v>67</v>
      </c>
      <c r="C30" s="11" t="s">
        <v>65</v>
      </c>
      <c r="D30" s="11" t="s">
        <v>387</v>
      </c>
      <c r="E30" s="11" t="s">
        <v>388</v>
      </c>
      <c r="F30" s="11" t="s">
        <v>389</v>
      </c>
      <c r="G30" s="11" t="s">
        <v>413</v>
      </c>
      <c r="H30" s="11" t="s">
        <v>391</v>
      </c>
      <c r="I30" s="74">
        <v>46023</v>
      </c>
      <c r="J30" s="11" t="s">
        <v>392</v>
      </c>
      <c r="K30" s="12">
        <v>1</v>
      </c>
    </row>
    <row r="31" spans="1:11" ht="14.25" x14ac:dyDescent="0.15">
      <c r="A31" s="10" t="s">
        <v>514</v>
      </c>
      <c r="B31" s="11" t="s">
        <v>67</v>
      </c>
      <c r="C31" s="11" t="s">
        <v>66</v>
      </c>
      <c r="D31" s="11" t="s">
        <v>387</v>
      </c>
      <c r="E31" s="11" t="s">
        <v>388</v>
      </c>
      <c r="F31" s="11" t="s">
        <v>389</v>
      </c>
      <c r="G31" s="11" t="s">
        <v>414</v>
      </c>
      <c r="H31" s="11" t="s">
        <v>391</v>
      </c>
      <c r="I31" s="74">
        <v>46023</v>
      </c>
      <c r="J31" s="11" t="s">
        <v>392</v>
      </c>
      <c r="K31" s="12">
        <v>1</v>
      </c>
    </row>
    <row r="32" spans="1:11" ht="14.25" x14ac:dyDescent="0.15">
      <c r="A32" s="10" t="s">
        <v>514</v>
      </c>
      <c r="B32" s="11" t="s">
        <v>67</v>
      </c>
      <c r="C32" s="11" t="s">
        <v>126</v>
      </c>
      <c r="D32" s="11" t="s">
        <v>387</v>
      </c>
      <c r="E32" s="11" t="s">
        <v>388</v>
      </c>
      <c r="F32" s="11" t="s">
        <v>389</v>
      </c>
      <c r="G32" s="11" t="s">
        <v>415</v>
      </c>
      <c r="H32" s="11" t="s">
        <v>416</v>
      </c>
      <c r="I32" s="74">
        <v>46023</v>
      </c>
      <c r="J32" s="11" t="s">
        <v>392</v>
      </c>
      <c r="K32" s="12">
        <v>1</v>
      </c>
    </row>
    <row r="33" spans="1:11" ht="14.25" x14ac:dyDescent="0.15">
      <c r="A33" s="10" t="s">
        <v>514</v>
      </c>
      <c r="B33" s="11" t="s">
        <v>67</v>
      </c>
      <c r="C33" s="11" t="s">
        <v>127</v>
      </c>
      <c r="D33" s="11" t="s">
        <v>387</v>
      </c>
      <c r="E33" s="11" t="s">
        <v>388</v>
      </c>
      <c r="F33" s="11" t="s">
        <v>389</v>
      </c>
      <c r="G33" s="11" t="s">
        <v>417</v>
      </c>
      <c r="H33" s="11" t="s">
        <v>416</v>
      </c>
      <c r="I33" s="74">
        <v>46023</v>
      </c>
      <c r="J33" s="11" t="s">
        <v>392</v>
      </c>
      <c r="K33" s="12">
        <v>1</v>
      </c>
    </row>
    <row r="34" spans="1:11" ht="14.25" x14ac:dyDescent="0.15">
      <c r="A34" s="10" t="s">
        <v>514</v>
      </c>
      <c r="B34" s="11" t="s">
        <v>77</v>
      </c>
      <c r="C34" s="11" t="s">
        <v>66</v>
      </c>
      <c r="D34" s="11" t="s">
        <v>387</v>
      </c>
      <c r="E34" s="11" t="s">
        <v>388</v>
      </c>
      <c r="F34" s="11" t="s">
        <v>389</v>
      </c>
      <c r="G34" s="11" t="s">
        <v>414</v>
      </c>
      <c r="H34" s="11" t="s">
        <v>391</v>
      </c>
      <c r="I34" s="74">
        <v>46023</v>
      </c>
      <c r="J34" s="11" t="s">
        <v>392</v>
      </c>
      <c r="K34" s="12">
        <v>1</v>
      </c>
    </row>
    <row r="35" spans="1:11" ht="14.25" x14ac:dyDescent="0.15">
      <c r="A35" s="10" t="s">
        <v>514</v>
      </c>
      <c r="B35" s="11" t="s">
        <v>77</v>
      </c>
      <c r="C35" s="11" t="s">
        <v>69</v>
      </c>
      <c r="D35" s="11" t="s">
        <v>387</v>
      </c>
      <c r="E35" s="11" t="s">
        <v>388</v>
      </c>
      <c r="F35" s="11" t="s">
        <v>389</v>
      </c>
      <c r="G35" s="11" t="s">
        <v>418</v>
      </c>
      <c r="H35" s="11" t="s">
        <v>391</v>
      </c>
      <c r="I35" s="74">
        <v>46023</v>
      </c>
      <c r="J35" s="11" t="s">
        <v>392</v>
      </c>
      <c r="K35" s="12">
        <v>1</v>
      </c>
    </row>
    <row r="36" spans="1:11" ht="14.25" x14ac:dyDescent="0.15">
      <c r="A36" s="10" t="s">
        <v>514</v>
      </c>
      <c r="B36" s="11" t="s">
        <v>77</v>
      </c>
      <c r="C36" s="11" t="s">
        <v>137</v>
      </c>
      <c r="D36" s="11" t="s">
        <v>387</v>
      </c>
      <c r="E36" s="11" t="s">
        <v>388</v>
      </c>
      <c r="F36" s="11" t="s">
        <v>389</v>
      </c>
      <c r="G36" s="11" t="s">
        <v>419</v>
      </c>
      <c r="H36" s="11" t="s">
        <v>391</v>
      </c>
      <c r="I36" s="74">
        <v>46023</v>
      </c>
      <c r="J36" s="11" t="s">
        <v>392</v>
      </c>
      <c r="K36" s="12">
        <v>1</v>
      </c>
    </row>
    <row r="37" spans="1:11" ht="14.25" x14ac:dyDescent="0.15">
      <c r="A37" s="10" t="s">
        <v>514</v>
      </c>
      <c r="B37" s="11" t="s">
        <v>77</v>
      </c>
      <c r="C37" s="11" t="s">
        <v>70</v>
      </c>
      <c r="D37" s="11" t="s">
        <v>387</v>
      </c>
      <c r="E37" s="11" t="s">
        <v>388</v>
      </c>
      <c r="F37" s="11" t="s">
        <v>389</v>
      </c>
      <c r="G37" s="11" t="s">
        <v>420</v>
      </c>
      <c r="H37" s="11" t="s">
        <v>391</v>
      </c>
      <c r="I37" s="74">
        <v>46023</v>
      </c>
      <c r="J37" s="11" t="s">
        <v>392</v>
      </c>
      <c r="K37" s="12">
        <v>1</v>
      </c>
    </row>
    <row r="38" spans="1:11" ht="14.25" x14ac:dyDescent="0.15">
      <c r="A38" s="10" t="s">
        <v>514</v>
      </c>
      <c r="B38" s="11" t="s">
        <v>77</v>
      </c>
      <c r="C38" s="11" t="s">
        <v>138</v>
      </c>
      <c r="D38" s="11" t="s">
        <v>387</v>
      </c>
      <c r="E38" s="11" t="s">
        <v>388</v>
      </c>
      <c r="F38" s="11" t="s">
        <v>389</v>
      </c>
      <c r="G38" s="11" t="s">
        <v>421</v>
      </c>
      <c r="H38" s="11" t="s">
        <v>391</v>
      </c>
      <c r="I38" s="74">
        <v>46023</v>
      </c>
      <c r="J38" s="11" t="s">
        <v>392</v>
      </c>
      <c r="K38" s="12">
        <v>1</v>
      </c>
    </row>
    <row r="39" spans="1:11" ht="14.25" x14ac:dyDescent="0.15">
      <c r="A39" s="10" t="s">
        <v>514</v>
      </c>
      <c r="B39" s="11" t="s">
        <v>77</v>
      </c>
      <c r="C39" s="11" t="s">
        <v>71</v>
      </c>
      <c r="D39" s="11" t="s">
        <v>387</v>
      </c>
      <c r="E39" s="11" t="s">
        <v>388</v>
      </c>
      <c r="F39" s="11" t="s">
        <v>389</v>
      </c>
      <c r="G39" s="11" t="s">
        <v>422</v>
      </c>
      <c r="H39" s="11" t="s">
        <v>391</v>
      </c>
      <c r="I39" s="74">
        <v>46023</v>
      </c>
      <c r="J39" s="11" t="s">
        <v>392</v>
      </c>
      <c r="K39" s="12">
        <v>1</v>
      </c>
    </row>
    <row r="40" spans="1:11" ht="14.25" x14ac:dyDescent="0.15">
      <c r="A40" s="10" t="s">
        <v>514</v>
      </c>
      <c r="B40" s="11" t="s">
        <v>77</v>
      </c>
      <c r="C40" s="11" t="s">
        <v>72</v>
      </c>
      <c r="D40" s="11" t="s">
        <v>387</v>
      </c>
      <c r="E40" s="11" t="s">
        <v>388</v>
      </c>
      <c r="F40" s="11" t="s">
        <v>389</v>
      </c>
      <c r="G40" s="11" t="s">
        <v>423</v>
      </c>
      <c r="H40" s="11" t="s">
        <v>391</v>
      </c>
      <c r="I40" s="74">
        <v>46023</v>
      </c>
      <c r="J40" s="11" t="s">
        <v>392</v>
      </c>
      <c r="K40" s="12">
        <v>1</v>
      </c>
    </row>
    <row r="41" spans="1:11" ht="14.25" x14ac:dyDescent="0.15">
      <c r="A41" s="10" t="s">
        <v>514</v>
      </c>
      <c r="B41" s="11" t="s">
        <v>77</v>
      </c>
      <c r="C41" s="11" t="s">
        <v>73</v>
      </c>
      <c r="D41" s="11" t="s">
        <v>387</v>
      </c>
      <c r="E41" s="11" t="s">
        <v>388</v>
      </c>
      <c r="F41" s="11" t="s">
        <v>389</v>
      </c>
      <c r="G41" s="11" t="s">
        <v>424</v>
      </c>
      <c r="H41" s="11" t="s">
        <v>391</v>
      </c>
      <c r="I41" s="74">
        <v>46023</v>
      </c>
      <c r="J41" s="11" t="s">
        <v>392</v>
      </c>
      <c r="K41" s="12">
        <v>1</v>
      </c>
    </row>
    <row r="42" spans="1:11" ht="14.25" x14ac:dyDescent="0.15">
      <c r="A42" s="10" t="s">
        <v>514</v>
      </c>
      <c r="B42" s="11" t="s">
        <v>77</v>
      </c>
      <c r="C42" s="11" t="s">
        <v>75</v>
      </c>
      <c r="D42" s="11" t="s">
        <v>387</v>
      </c>
      <c r="E42" s="11" t="s">
        <v>388</v>
      </c>
      <c r="F42" s="11" t="s">
        <v>389</v>
      </c>
      <c r="G42" s="11" t="s">
        <v>425</v>
      </c>
      <c r="H42" s="11" t="s">
        <v>391</v>
      </c>
      <c r="I42" s="74">
        <v>46023</v>
      </c>
      <c r="J42" s="11" t="s">
        <v>392</v>
      </c>
      <c r="K42" s="12">
        <v>1</v>
      </c>
    </row>
    <row r="43" spans="1:11" ht="14.25" x14ac:dyDescent="0.15">
      <c r="A43" s="10" t="s">
        <v>514</v>
      </c>
      <c r="B43" s="11" t="s">
        <v>77</v>
      </c>
      <c r="C43" s="11" t="s">
        <v>74</v>
      </c>
      <c r="D43" s="11" t="s">
        <v>53</v>
      </c>
      <c r="E43" s="11" t="s">
        <v>388</v>
      </c>
      <c r="F43" s="11" t="s">
        <v>389</v>
      </c>
      <c r="G43" s="11" t="s">
        <v>78</v>
      </c>
      <c r="H43" s="11" t="s">
        <v>391</v>
      </c>
      <c r="I43" s="74" t="s">
        <v>78</v>
      </c>
      <c r="J43" s="11" t="s">
        <v>397</v>
      </c>
      <c r="K43" s="12">
        <v>1</v>
      </c>
    </row>
    <row r="44" spans="1:11" ht="14.25" x14ac:dyDescent="0.15">
      <c r="A44" s="10" t="s">
        <v>514</v>
      </c>
      <c r="B44" s="11" t="s">
        <v>77</v>
      </c>
      <c r="C44" s="11" t="s">
        <v>79</v>
      </c>
      <c r="D44" s="11" t="s">
        <v>387</v>
      </c>
      <c r="E44" s="11" t="s">
        <v>388</v>
      </c>
      <c r="F44" s="11" t="s">
        <v>389</v>
      </c>
      <c r="G44" s="11" t="s">
        <v>426</v>
      </c>
      <c r="H44" s="11" t="s">
        <v>391</v>
      </c>
      <c r="I44" s="74">
        <v>46023</v>
      </c>
      <c r="J44" s="11" t="s">
        <v>392</v>
      </c>
      <c r="K44" s="12">
        <v>1</v>
      </c>
    </row>
    <row r="45" spans="1:11" ht="14.25" x14ac:dyDescent="0.15">
      <c r="A45" s="10" t="s">
        <v>514</v>
      </c>
      <c r="B45" s="11" t="s">
        <v>77</v>
      </c>
      <c r="C45" s="11" t="s">
        <v>142</v>
      </c>
      <c r="D45" s="11" t="s">
        <v>387</v>
      </c>
      <c r="E45" s="11" t="s">
        <v>388</v>
      </c>
      <c r="F45" s="11" t="s">
        <v>389</v>
      </c>
      <c r="G45" s="11" t="s">
        <v>427</v>
      </c>
      <c r="H45" s="11" t="s">
        <v>391</v>
      </c>
      <c r="I45" s="74">
        <v>46023</v>
      </c>
      <c r="J45" s="11" t="s">
        <v>392</v>
      </c>
      <c r="K45" s="12">
        <v>1</v>
      </c>
    </row>
    <row r="46" spans="1:11" ht="14.25" x14ac:dyDescent="0.15">
      <c r="A46" s="10" t="s">
        <v>514</v>
      </c>
      <c r="B46" s="11" t="s">
        <v>77</v>
      </c>
      <c r="C46" s="11" t="s">
        <v>143</v>
      </c>
      <c r="D46" s="11" t="s">
        <v>387</v>
      </c>
      <c r="E46" s="11" t="s">
        <v>388</v>
      </c>
      <c r="F46" s="11" t="s">
        <v>389</v>
      </c>
      <c r="G46" s="11" t="s">
        <v>428</v>
      </c>
      <c r="H46" s="11" t="s">
        <v>391</v>
      </c>
      <c r="I46" s="74">
        <v>46023</v>
      </c>
      <c r="J46" s="11" t="s">
        <v>392</v>
      </c>
      <c r="K46" s="12">
        <v>1</v>
      </c>
    </row>
  </sheetData>
  <mergeCells count="1">
    <mergeCell ref="A1:Q1"/>
  </mergeCells>
  <phoneticPr fontId="7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Q199"/>
  <sheetViews>
    <sheetView showGridLines="0" tabSelected="1" zoomScale="70" zoomScaleNormal="70" workbookViewId="0">
      <pane ySplit="1" topLeftCell="A2" activePane="bottomLeft" state="frozen"/>
      <selection pane="bottomLeft" activeCell="E27" sqref="E27"/>
    </sheetView>
  </sheetViews>
  <sheetFormatPr defaultRowHeight="12" x14ac:dyDescent="0.2"/>
  <cols>
    <col min="1" max="7" width="15.875" style="23" customWidth="1"/>
    <col min="8" max="8" width="30" style="23" customWidth="1"/>
    <col min="9" max="9" width="2.625" style="23" customWidth="1"/>
    <col min="10" max="10" width="22.625" style="23" customWidth="1"/>
    <col min="11" max="11" width="70.625" style="23" customWidth="1"/>
    <col min="12" max="16384" width="9" style="23"/>
  </cols>
  <sheetData>
    <row r="1" spans="1:17" ht="30" customHeight="1" thickBot="1" x14ac:dyDescent="0.25">
      <c r="A1" s="31" t="s">
        <v>464</v>
      </c>
      <c r="B1" s="32" t="s">
        <v>465</v>
      </c>
      <c r="C1" s="32" t="s">
        <v>466</v>
      </c>
      <c r="D1" s="32" t="s">
        <v>467</v>
      </c>
      <c r="E1" s="32" t="s">
        <v>468</v>
      </c>
      <c r="F1" s="32" t="s">
        <v>469</v>
      </c>
      <c r="G1" s="32" t="s">
        <v>470</v>
      </c>
      <c r="H1" s="33" t="s">
        <v>471</v>
      </c>
      <c r="J1" s="34" t="s">
        <v>472</v>
      </c>
      <c r="K1" s="35"/>
      <c r="L1" s="26"/>
      <c r="M1" s="26"/>
      <c r="N1" s="26"/>
      <c r="O1" s="26"/>
      <c r="P1" s="26"/>
      <c r="Q1" s="26"/>
    </row>
    <row r="2" spans="1:17" ht="21.95" customHeight="1" x14ac:dyDescent="0.2">
      <c r="A2" s="36" t="s">
        <v>17</v>
      </c>
      <c r="B2" s="37">
        <v>7.3002000000000002</v>
      </c>
      <c r="C2" s="37">
        <v>7.1966269961977156</v>
      </c>
      <c r="D2" s="37">
        <v>0.93971000000000005</v>
      </c>
      <c r="E2" s="37">
        <v>0.9223204198473276</v>
      </c>
      <c r="F2" s="38">
        <v>4.9399999999999999E-3</v>
      </c>
      <c r="G2" s="38">
        <v>5.2799236641221372E-3</v>
      </c>
      <c r="H2" s="39"/>
      <c r="J2" s="40" t="s">
        <v>473</v>
      </c>
      <c r="K2" s="28"/>
      <c r="L2" s="26"/>
      <c r="M2" s="26"/>
      <c r="N2" s="26"/>
      <c r="O2" s="26"/>
      <c r="P2" s="26"/>
      <c r="Q2" s="26"/>
    </row>
    <row r="3" spans="1:17" ht="21.95" customHeight="1" x14ac:dyDescent="0.2">
      <c r="A3" s="41" t="s">
        <v>18</v>
      </c>
      <c r="B3" s="42">
        <v>7.0998999999999999</v>
      </c>
      <c r="C3" s="42">
        <v>7.0827865900383138</v>
      </c>
      <c r="D3" s="42">
        <v>0.90913999999999995</v>
      </c>
      <c r="E3" s="42">
        <v>0.90474375478927171</v>
      </c>
      <c r="F3" s="43"/>
      <c r="G3" s="43"/>
      <c r="H3" s="44"/>
      <c r="J3" s="29" t="s">
        <v>454</v>
      </c>
      <c r="K3" s="30" t="s">
        <v>457</v>
      </c>
      <c r="L3" s="26"/>
      <c r="M3" s="26"/>
      <c r="N3" s="26"/>
      <c r="O3" s="26"/>
      <c r="P3" s="26"/>
      <c r="Q3" s="26"/>
    </row>
    <row r="4" spans="1:17" ht="21.95" customHeight="1" x14ac:dyDescent="0.2">
      <c r="A4" s="45" t="s">
        <v>518</v>
      </c>
      <c r="B4" s="46"/>
      <c r="C4" s="46"/>
      <c r="D4" s="46"/>
      <c r="E4" s="46"/>
      <c r="F4" s="47">
        <v>4.8500000000000001E-3</v>
      </c>
      <c r="G4" s="47">
        <v>5.0599230769230738E-3</v>
      </c>
      <c r="H4" s="48"/>
      <c r="J4" s="29" t="s">
        <v>455</v>
      </c>
      <c r="K4" s="30" t="s">
        <v>458</v>
      </c>
      <c r="L4" s="26"/>
      <c r="M4" s="26"/>
      <c r="N4" s="26"/>
      <c r="O4" s="26"/>
      <c r="P4" s="26"/>
      <c r="Q4" s="26"/>
    </row>
    <row r="5" spans="1:17" ht="21.95" customHeight="1" x14ac:dyDescent="0.2">
      <c r="A5" s="41"/>
      <c r="B5" s="42"/>
      <c r="C5" s="42"/>
      <c r="D5" s="42"/>
      <c r="E5" s="42"/>
      <c r="F5" s="43"/>
      <c r="G5" s="43"/>
      <c r="H5" s="44"/>
      <c r="J5" s="29" t="s">
        <v>456</v>
      </c>
      <c r="K5" s="30" t="s">
        <v>459</v>
      </c>
      <c r="L5" s="26"/>
      <c r="M5" s="26"/>
      <c r="N5" s="26"/>
      <c r="O5" s="26"/>
      <c r="P5" s="26"/>
      <c r="Q5" s="26"/>
    </row>
    <row r="6" spans="1:17" ht="21.95" customHeight="1" x14ac:dyDescent="0.2">
      <c r="A6" s="45"/>
      <c r="B6" s="46"/>
      <c r="C6" s="46"/>
      <c r="D6" s="46"/>
      <c r="E6" s="46"/>
      <c r="F6" s="47"/>
      <c r="G6" s="47"/>
      <c r="H6" s="48"/>
      <c r="J6" s="29"/>
      <c r="K6" s="30"/>
      <c r="L6" s="26"/>
      <c r="M6" s="26"/>
      <c r="N6" s="26"/>
      <c r="O6" s="26"/>
      <c r="P6" s="26"/>
      <c r="Q6" s="26"/>
    </row>
    <row r="7" spans="1:17" ht="21.95" customHeight="1" x14ac:dyDescent="0.2">
      <c r="A7" s="41"/>
      <c r="B7" s="42"/>
      <c r="C7" s="42"/>
      <c r="D7" s="42"/>
      <c r="E7" s="42"/>
      <c r="F7" s="43"/>
      <c r="G7" s="43"/>
      <c r="H7" s="44"/>
      <c r="J7" s="49" t="s">
        <v>474</v>
      </c>
      <c r="K7" s="27"/>
      <c r="L7" s="26"/>
      <c r="M7" s="26"/>
      <c r="N7" s="26"/>
      <c r="O7" s="26"/>
      <c r="P7" s="26"/>
      <c r="Q7" s="26"/>
    </row>
    <row r="8" spans="1:17" ht="21.95" customHeight="1" x14ac:dyDescent="0.2">
      <c r="A8" s="45"/>
      <c r="B8" s="46"/>
      <c r="C8" s="46"/>
      <c r="D8" s="46"/>
      <c r="E8" s="46"/>
      <c r="F8" s="47"/>
      <c r="G8" s="47"/>
      <c r="H8" s="48"/>
      <c r="J8" s="29" t="s">
        <v>460</v>
      </c>
      <c r="K8" s="30" t="s">
        <v>461</v>
      </c>
      <c r="L8" s="26"/>
      <c r="M8" s="26"/>
      <c r="N8" s="26"/>
      <c r="O8" s="26"/>
      <c r="P8" s="26"/>
      <c r="Q8" s="26"/>
    </row>
    <row r="9" spans="1:17" ht="21.95" customHeight="1" x14ac:dyDescent="0.2">
      <c r="A9" s="41"/>
      <c r="B9" s="42"/>
      <c r="C9" s="42"/>
      <c r="D9" s="42"/>
      <c r="E9" s="42"/>
      <c r="F9" s="43"/>
      <c r="G9" s="43"/>
      <c r="H9" s="44"/>
      <c r="J9" s="29" t="s">
        <v>462</v>
      </c>
      <c r="K9" s="30" t="s">
        <v>463</v>
      </c>
      <c r="L9" s="26"/>
      <c r="M9" s="26"/>
      <c r="N9" s="26"/>
      <c r="O9" s="26"/>
      <c r="P9" s="26"/>
      <c r="Q9" s="26"/>
    </row>
    <row r="10" spans="1:17" ht="27.95" customHeight="1" x14ac:dyDescent="0.2">
      <c r="A10" s="45"/>
      <c r="B10" s="46"/>
      <c r="C10" s="46"/>
      <c r="D10" s="46"/>
      <c r="E10" s="46"/>
      <c r="F10" s="47"/>
      <c r="G10" s="47"/>
      <c r="H10" s="48"/>
      <c r="J10" s="82" t="s">
        <v>535</v>
      </c>
      <c r="K10" s="82"/>
      <c r="L10" s="83"/>
      <c r="M10" s="83"/>
      <c r="N10" s="83"/>
      <c r="O10" s="83"/>
      <c r="P10" s="83"/>
      <c r="Q10" s="83"/>
    </row>
    <row r="11" spans="1:17" ht="21.95" customHeight="1" x14ac:dyDescent="0.2">
      <c r="A11" s="50"/>
      <c r="B11" s="51"/>
      <c r="C11" s="51"/>
      <c r="D11" s="51"/>
      <c r="E11" s="51"/>
      <c r="F11" s="52"/>
      <c r="G11" s="52"/>
      <c r="H11" s="53"/>
      <c r="J11" s="84" t="s">
        <v>536</v>
      </c>
      <c r="K11" s="84"/>
      <c r="L11" s="85"/>
      <c r="M11" s="85"/>
      <c r="N11" s="85"/>
      <c r="O11" s="85"/>
      <c r="P11" s="85"/>
      <c r="Q11" s="85"/>
    </row>
    <row r="12" spans="1:17" ht="24" customHeight="1" x14ac:dyDescent="0.2">
      <c r="A12" s="54"/>
      <c r="B12" s="55"/>
      <c r="C12" s="55"/>
      <c r="D12" s="55"/>
      <c r="E12" s="55"/>
      <c r="F12" s="56"/>
      <c r="G12" s="56"/>
      <c r="H12" s="57"/>
      <c r="J12" s="76" t="s">
        <v>483</v>
      </c>
      <c r="K12" s="77"/>
      <c r="L12"/>
      <c r="M12"/>
      <c r="N12"/>
      <c r="O12"/>
      <c r="P12"/>
      <c r="Q12"/>
    </row>
    <row r="13" spans="1:17" ht="24" customHeight="1" x14ac:dyDescent="0.2">
      <c r="A13" s="54"/>
      <c r="B13" s="55"/>
      <c r="C13" s="55"/>
      <c r="D13" s="55"/>
      <c r="E13" s="55"/>
      <c r="F13" s="56"/>
      <c r="G13" s="56"/>
      <c r="H13" s="57"/>
      <c r="J13" s="79" t="s">
        <v>478</v>
      </c>
      <c r="K13" s="59" t="s">
        <v>537</v>
      </c>
      <c r="L13"/>
      <c r="M13"/>
      <c r="N13"/>
      <c r="O13"/>
      <c r="P13"/>
      <c r="Q13"/>
    </row>
    <row r="14" spans="1:17" ht="24" customHeight="1" x14ac:dyDescent="0.2">
      <c r="A14" s="54"/>
      <c r="B14" s="55"/>
      <c r="C14" s="55"/>
      <c r="D14" s="55"/>
      <c r="E14" s="55"/>
      <c r="F14" s="56"/>
      <c r="G14" s="56"/>
      <c r="H14" s="57"/>
      <c r="J14" s="79" t="s">
        <v>479</v>
      </c>
      <c r="K14" s="59" t="s">
        <v>538</v>
      </c>
      <c r="L14"/>
      <c r="M14"/>
      <c r="N14"/>
      <c r="O14"/>
      <c r="P14"/>
      <c r="Q14"/>
    </row>
    <row r="15" spans="1:17" ht="24" customHeight="1" x14ac:dyDescent="0.2">
      <c r="A15" s="54"/>
      <c r="B15" s="55"/>
      <c r="C15" s="55"/>
      <c r="D15" s="55"/>
      <c r="E15" s="55"/>
      <c r="F15" s="56"/>
      <c r="G15" s="56"/>
      <c r="H15" s="57"/>
      <c r="J15" s="79" t="s">
        <v>480</v>
      </c>
      <c r="K15" s="59" t="s">
        <v>539</v>
      </c>
      <c r="L15"/>
      <c r="M15"/>
      <c r="N15"/>
      <c r="O15"/>
      <c r="P15"/>
      <c r="Q15"/>
    </row>
    <row r="16" spans="1:17" ht="24" customHeight="1" x14ac:dyDescent="0.2">
      <c r="A16" s="54"/>
      <c r="B16" s="55"/>
      <c r="C16" s="55"/>
      <c r="D16" s="55"/>
      <c r="E16" s="55"/>
      <c r="F16" s="56"/>
      <c r="G16" s="56"/>
      <c r="H16" s="57"/>
      <c r="J16" s="79" t="s">
        <v>540</v>
      </c>
      <c r="K16" s="59" t="s">
        <v>541</v>
      </c>
      <c r="L16"/>
      <c r="M16"/>
      <c r="N16"/>
      <c r="O16"/>
      <c r="P16"/>
      <c r="Q16"/>
    </row>
    <row r="17" spans="1:17" ht="24" customHeight="1" x14ac:dyDescent="0.2">
      <c r="A17" s="54"/>
      <c r="B17" s="55"/>
      <c r="C17" s="55"/>
      <c r="D17" s="55"/>
      <c r="E17" s="55"/>
      <c r="F17" s="56"/>
      <c r="G17" s="56"/>
      <c r="H17" s="57"/>
      <c r="J17" s="78"/>
      <c r="K17" s="58"/>
      <c r="L17"/>
      <c r="M17"/>
      <c r="N17"/>
      <c r="O17"/>
      <c r="P17"/>
      <c r="Q17"/>
    </row>
    <row r="18" spans="1:17" ht="24" customHeight="1" x14ac:dyDescent="0.2">
      <c r="A18" s="54"/>
      <c r="B18" s="55"/>
      <c r="C18" s="55"/>
      <c r="D18" s="55"/>
      <c r="E18" s="55"/>
      <c r="F18" s="56"/>
      <c r="G18" s="56"/>
      <c r="H18" s="57"/>
      <c r="J18" s="76" t="s">
        <v>542</v>
      </c>
      <c r="K18" s="77"/>
      <c r="L18"/>
      <c r="M18"/>
      <c r="N18"/>
      <c r="O18"/>
      <c r="P18"/>
      <c r="Q18"/>
    </row>
    <row r="19" spans="1:17" ht="24" customHeight="1" x14ac:dyDescent="0.2">
      <c r="A19" s="54"/>
      <c r="B19" s="55"/>
      <c r="C19" s="55"/>
      <c r="D19" s="55"/>
      <c r="E19" s="55"/>
      <c r="F19" s="56"/>
      <c r="G19" s="56"/>
      <c r="H19" s="57"/>
      <c r="J19" s="79" t="s">
        <v>484</v>
      </c>
      <c r="K19" s="59" t="s">
        <v>543</v>
      </c>
      <c r="L19"/>
      <c r="M19"/>
      <c r="N19"/>
      <c r="O19"/>
      <c r="P19"/>
      <c r="Q19"/>
    </row>
    <row r="20" spans="1:17" ht="24" customHeight="1" x14ac:dyDescent="0.2">
      <c r="A20" s="54"/>
      <c r="B20" s="55"/>
      <c r="C20" s="55"/>
      <c r="D20" s="55"/>
      <c r="E20" s="55"/>
      <c r="F20" s="56"/>
      <c r="G20" s="56"/>
      <c r="H20" s="57"/>
      <c r="J20" s="79" t="s">
        <v>485</v>
      </c>
      <c r="K20" s="59" t="s">
        <v>544</v>
      </c>
      <c r="L20"/>
      <c r="M20"/>
      <c r="N20"/>
      <c r="O20"/>
      <c r="P20"/>
      <c r="Q20"/>
    </row>
    <row r="21" spans="1:17" ht="24" customHeight="1" x14ac:dyDescent="0.2">
      <c r="A21" s="54"/>
      <c r="B21" s="55"/>
      <c r="C21" s="55"/>
      <c r="D21" s="55"/>
      <c r="E21" s="55"/>
      <c r="F21" s="56"/>
      <c r="G21" s="56"/>
      <c r="H21" s="57"/>
      <c r="J21" s="78"/>
      <c r="K21" s="58"/>
      <c r="L21"/>
      <c r="M21"/>
      <c r="N21"/>
      <c r="O21"/>
      <c r="P21"/>
      <c r="Q21"/>
    </row>
    <row r="22" spans="1:17" ht="24" customHeight="1" x14ac:dyDescent="0.2">
      <c r="A22" s="54"/>
      <c r="B22" s="55"/>
      <c r="C22" s="55"/>
      <c r="D22" s="55"/>
      <c r="E22" s="55"/>
      <c r="F22" s="56"/>
      <c r="G22" s="56"/>
      <c r="H22" s="57"/>
      <c r="J22" s="76" t="s">
        <v>545</v>
      </c>
      <c r="K22" s="77"/>
      <c r="L22"/>
      <c r="M22"/>
      <c r="N22"/>
      <c r="O22"/>
      <c r="P22"/>
      <c r="Q22"/>
    </row>
    <row r="23" spans="1:17" ht="24" customHeight="1" x14ac:dyDescent="0.2">
      <c r="A23" s="54"/>
      <c r="B23" s="55"/>
      <c r="C23" s="55"/>
      <c r="D23" s="55"/>
      <c r="E23" s="55"/>
      <c r="F23" s="56"/>
      <c r="G23" s="56"/>
      <c r="H23" s="57"/>
      <c r="J23" s="79" t="s">
        <v>546</v>
      </c>
      <c r="K23" s="59" t="s">
        <v>547</v>
      </c>
      <c r="L23"/>
      <c r="M23"/>
      <c r="N23"/>
      <c r="O23"/>
      <c r="P23"/>
      <c r="Q23"/>
    </row>
    <row r="24" spans="1:17" ht="24" customHeight="1" x14ac:dyDescent="0.2">
      <c r="A24" s="54"/>
      <c r="B24" s="55"/>
      <c r="C24" s="55"/>
      <c r="D24" s="55"/>
      <c r="E24" s="55"/>
      <c r="F24" s="56"/>
      <c r="G24" s="56"/>
      <c r="H24" s="57"/>
      <c r="J24" s="79" t="s">
        <v>548</v>
      </c>
      <c r="K24" s="59" t="s">
        <v>549</v>
      </c>
      <c r="L24"/>
      <c r="M24"/>
      <c r="N24"/>
      <c r="O24"/>
      <c r="P24"/>
      <c r="Q24"/>
    </row>
    <row r="25" spans="1:17" ht="24" customHeight="1" x14ac:dyDescent="0.2">
      <c r="A25" s="54"/>
      <c r="B25" s="55"/>
      <c r="C25" s="55"/>
      <c r="D25" s="55"/>
      <c r="E25" s="55"/>
      <c r="F25" s="56"/>
      <c r="G25" s="56"/>
      <c r="H25" s="57"/>
      <c r="J25" s="79" t="s">
        <v>550</v>
      </c>
      <c r="K25" s="59" t="s">
        <v>551</v>
      </c>
      <c r="L25"/>
      <c r="M25"/>
      <c r="N25"/>
      <c r="O25"/>
      <c r="P25"/>
      <c r="Q25"/>
    </row>
    <row r="26" spans="1:17" ht="24" customHeight="1" x14ac:dyDescent="0.2">
      <c r="A26" s="54"/>
      <c r="B26" s="55"/>
      <c r="C26" s="55"/>
      <c r="D26" s="55"/>
      <c r="E26" s="55"/>
      <c r="F26" s="56"/>
      <c r="G26" s="56"/>
      <c r="H26" s="57"/>
      <c r="J26" s="78"/>
      <c r="K26" s="58"/>
      <c r="L26"/>
      <c r="M26"/>
      <c r="N26"/>
      <c r="O26"/>
      <c r="P26"/>
      <c r="Q26"/>
    </row>
    <row r="27" spans="1:17" ht="24" customHeight="1" x14ac:dyDescent="0.2">
      <c r="A27" s="54"/>
      <c r="B27" s="55"/>
      <c r="C27" s="55"/>
      <c r="D27" s="55"/>
      <c r="E27" s="55"/>
      <c r="F27" s="56"/>
      <c r="G27" s="56"/>
      <c r="H27" s="57"/>
      <c r="J27" s="76" t="s">
        <v>552</v>
      </c>
      <c r="K27" s="77"/>
      <c r="L27"/>
      <c r="M27"/>
      <c r="N27"/>
      <c r="O27"/>
      <c r="P27"/>
      <c r="Q27"/>
    </row>
    <row r="28" spans="1:17" ht="24" customHeight="1" x14ac:dyDescent="0.2">
      <c r="A28" s="54"/>
      <c r="B28" s="55"/>
      <c r="C28" s="55"/>
      <c r="D28" s="55"/>
      <c r="E28" s="55"/>
      <c r="F28" s="56"/>
      <c r="G28" s="56"/>
      <c r="H28" s="57"/>
      <c r="J28" s="79" t="s">
        <v>553</v>
      </c>
      <c r="K28" s="59" t="s">
        <v>554</v>
      </c>
      <c r="L28"/>
      <c r="M28"/>
      <c r="N28"/>
      <c r="O28"/>
      <c r="P28"/>
      <c r="Q28"/>
    </row>
    <row r="29" spans="1:17" ht="24" customHeight="1" x14ac:dyDescent="0.2">
      <c r="A29" s="54"/>
      <c r="B29" s="55"/>
      <c r="C29" s="55"/>
      <c r="D29" s="55"/>
      <c r="E29" s="55"/>
      <c r="F29" s="56"/>
      <c r="G29" s="56"/>
      <c r="H29" s="57"/>
      <c r="J29" s="79" t="s">
        <v>555</v>
      </c>
      <c r="K29" s="59" t="s">
        <v>556</v>
      </c>
      <c r="L29"/>
      <c r="M29"/>
      <c r="N29"/>
      <c r="O29"/>
      <c r="P29"/>
      <c r="Q29"/>
    </row>
    <row r="30" spans="1:17" ht="24" customHeight="1" x14ac:dyDescent="0.2">
      <c r="A30" s="54"/>
      <c r="B30" s="55"/>
      <c r="C30" s="55"/>
      <c r="D30" s="55"/>
      <c r="E30" s="55"/>
      <c r="F30" s="56"/>
      <c r="G30" s="56"/>
      <c r="H30" s="57"/>
      <c r="J30" s="78"/>
      <c r="K30" s="58"/>
      <c r="L30"/>
      <c r="M30"/>
      <c r="N30"/>
      <c r="O30"/>
      <c r="P30"/>
      <c r="Q30"/>
    </row>
    <row r="31" spans="1:17" ht="24" customHeight="1" x14ac:dyDescent="0.2">
      <c r="A31" s="54"/>
      <c r="B31" s="55"/>
      <c r="C31" s="55"/>
      <c r="D31" s="55"/>
      <c r="E31" s="55"/>
      <c r="F31" s="56"/>
      <c r="G31" s="56"/>
      <c r="H31" s="57"/>
      <c r="J31" s="76" t="s">
        <v>557</v>
      </c>
      <c r="K31" s="77"/>
      <c r="L31"/>
      <c r="M31"/>
      <c r="N31"/>
      <c r="O31"/>
      <c r="P31"/>
      <c r="Q31"/>
    </row>
    <row r="32" spans="1:17" ht="24" customHeight="1" x14ac:dyDescent="0.2">
      <c r="A32" s="54"/>
      <c r="B32" s="55"/>
      <c r="C32" s="55"/>
      <c r="D32" s="55"/>
      <c r="E32" s="55"/>
      <c r="F32" s="56"/>
      <c r="G32" s="56"/>
      <c r="H32" s="57"/>
      <c r="J32" s="79" t="s">
        <v>558</v>
      </c>
      <c r="K32" s="59" t="s">
        <v>559</v>
      </c>
      <c r="L32"/>
      <c r="M32"/>
      <c r="N32"/>
      <c r="O32"/>
      <c r="P32"/>
      <c r="Q32"/>
    </row>
    <row r="33" spans="1:17" ht="24" customHeight="1" x14ac:dyDescent="0.2">
      <c r="J33" s="79" t="s">
        <v>560</v>
      </c>
      <c r="K33" s="59" t="s">
        <v>561</v>
      </c>
      <c r="L33"/>
      <c r="M33"/>
      <c r="N33"/>
      <c r="O33"/>
      <c r="P33"/>
      <c r="Q33"/>
    </row>
    <row r="34" spans="1:17" ht="24" customHeight="1" x14ac:dyDescent="0.2">
      <c r="J34" s="78"/>
      <c r="K34" s="58"/>
      <c r="L34"/>
      <c r="M34"/>
      <c r="N34"/>
      <c r="O34"/>
      <c r="P34"/>
      <c r="Q34"/>
    </row>
    <row r="35" spans="1:17" ht="24" customHeight="1" x14ac:dyDescent="0.2">
      <c r="A35" s="24"/>
      <c r="J35" s="76" t="s">
        <v>562</v>
      </c>
      <c r="K35" s="77"/>
      <c r="L35"/>
      <c r="M35"/>
      <c r="N35"/>
      <c r="O35"/>
      <c r="P35"/>
      <c r="Q35"/>
    </row>
    <row r="36" spans="1:17" ht="24" customHeight="1" x14ac:dyDescent="0.2">
      <c r="A36" s="24"/>
      <c r="J36" s="79" t="s">
        <v>563</v>
      </c>
      <c r="K36" s="59" t="s">
        <v>564</v>
      </c>
      <c r="L36"/>
      <c r="M36"/>
      <c r="N36"/>
      <c r="O36"/>
      <c r="P36"/>
      <c r="Q36"/>
    </row>
    <row r="37" spans="1:17" ht="24" customHeight="1" x14ac:dyDescent="0.2">
      <c r="A37" s="24"/>
      <c r="J37" s="79" t="s">
        <v>565</v>
      </c>
      <c r="K37" s="59" t="s">
        <v>566</v>
      </c>
      <c r="L37"/>
      <c r="M37"/>
      <c r="N37"/>
      <c r="O37"/>
      <c r="P37"/>
      <c r="Q37"/>
    </row>
    <row r="38" spans="1:17" ht="24" customHeight="1" x14ac:dyDescent="0.2">
      <c r="A38" s="24"/>
      <c r="J38" s="80"/>
      <c r="K38" s="80"/>
      <c r="L38"/>
      <c r="M38"/>
      <c r="N38"/>
      <c r="O38"/>
      <c r="P38"/>
      <c r="Q38"/>
    </row>
    <row r="39" spans="1:17" ht="24" customHeight="1" x14ac:dyDescent="0.2">
      <c r="A39" s="24"/>
      <c r="J39" s="80"/>
      <c r="K39" s="80"/>
      <c r="L39"/>
      <c r="M39"/>
      <c r="N39"/>
      <c r="O39"/>
      <c r="P39"/>
      <c r="Q39"/>
    </row>
    <row r="40" spans="1:17" ht="14.25" x14ac:dyDescent="0.2">
      <c r="A40" s="24"/>
      <c r="J40" s="80"/>
      <c r="K40" s="80"/>
      <c r="L40"/>
      <c r="M40"/>
      <c r="N40"/>
      <c r="O40"/>
      <c r="P40"/>
      <c r="Q40"/>
    </row>
    <row r="41" spans="1:17" x14ac:dyDescent="0.2">
      <c r="A41" s="24"/>
      <c r="J41" s="25"/>
      <c r="K41" s="25"/>
    </row>
    <row r="42" spans="1:17" x14ac:dyDescent="0.2">
      <c r="A42" s="24"/>
      <c r="J42" s="25"/>
      <c r="K42" s="25"/>
    </row>
    <row r="43" spans="1:17" x14ac:dyDescent="0.2">
      <c r="A43" s="24"/>
      <c r="J43" s="25"/>
      <c r="K43" s="25"/>
    </row>
    <row r="44" spans="1:17" x14ac:dyDescent="0.2">
      <c r="A44" s="24"/>
      <c r="J44" s="25"/>
      <c r="K44" s="25"/>
    </row>
    <row r="45" spans="1:17" x14ac:dyDescent="0.2">
      <c r="A45" s="24"/>
      <c r="J45" s="25"/>
      <c r="K45" s="25"/>
    </row>
    <row r="46" spans="1:17" x14ac:dyDescent="0.2">
      <c r="A46" s="24"/>
      <c r="J46" s="25"/>
      <c r="K46" s="25"/>
    </row>
    <row r="47" spans="1:17" x14ac:dyDescent="0.2">
      <c r="A47" s="24"/>
      <c r="J47" s="25"/>
      <c r="K47" s="25"/>
    </row>
    <row r="48" spans="1:17" x14ac:dyDescent="0.2">
      <c r="A48" s="24"/>
      <c r="J48" s="25"/>
      <c r="K48" s="25"/>
    </row>
    <row r="49" spans="1:11" x14ac:dyDescent="0.2">
      <c r="A49" s="24"/>
      <c r="J49" s="25"/>
      <c r="K49" s="25"/>
    </row>
    <row r="50" spans="1:11" x14ac:dyDescent="0.2">
      <c r="A50" s="24"/>
      <c r="J50" s="25"/>
      <c r="K50" s="25"/>
    </row>
    <row r="51" spans="1:11" x14ac:dyDescent="0.2">
      <c r="A51" s="24"/>
      <c r="J51" s="25"/>
      <c r="K51" s="25"/>
    </row>
    <row r="52" spans="1:11" x14ac:dyDescent="0.2">
      <c r="A52" s="24"/>
      <c r="J52" s="25"/>
      <c r="K52" s="25"/>
    </row>
    <row r="53" spans="1:11" x14ac:dyDescent="0.2">
      <c r="A53" s="24"/>
      <c r="J53" s="25"/>
      <c r="K53" s="25"/>
    </row>
    <row r="54" spans="1:11" x14ac:dyDescent="0.2">
      <c r="A54" s="24"/>
      <c r="J54" s="25"/>
      <c r="K54" s="25"/>
    </row>
    <row r="55" spans="1:11" x14ac:dyDescent="0.2">
      <c r="A55" s="24"/>
      <c r="J55" s="25"/>
      <c r="K55" s="25"/>
    </row>
    <row r="56" spans="1:11" x14ac:dyDescent="0.2">
      <c r="A56" s="24"/>
      <c r="J56" s="25"/>
      <c r="K56" s="25"/>
    </row>
    <row r="57" spans="1:11" x14ac:dyDescent="0.2">
      <c r="A57" s="24"/>
      <c r="J57" s="25"/>
      <c r="K57" s="25"/>
    </row>
    <row r="58" spans="1:11" x14ac:dyDescent="0.2">
      <c r="A58" s="24"/>
      <c r="J58" s="25"/>
      <c r="K58" s="25"/>
    </row>
    <row r="59" spans="1:11" x14ac:dyDescent="0.2">
      <c r="A59" s="24"/>
      <c r="J59" s="25"/>
      <c r="K59" s="25"/>
    </row>
    <row r="60" spans="1:11" x14ac:dyDescent="0.2">
      <c r="A60" s="24"/>
      <c r="J60" s="25"/>
      <c r="K60" s="25"/>
    </row>
    <row r="61" spans="1:11" x14ac:dyDescent="0.2">
      <c r="A61" s="24"/>
      <c r="J61" s="25"/>
      <c r="K61" s="25"/>
    </row>
    <row r="62" spans="1:11" x14ac:dyDescent="0.2">
      <c r="A62" s="24"/>
      <c r="J62" s="25"/>
      <c r="K62" s="25"/>
    </row>
    <row r="63" spans="1:11" x14ac:dyDescent="0.2">
      <c r="A63" s="24"/>
      <c r="J63" s="25"/>
      <c r="K63" s="25"/>
    </row>
    <row r="64" spans="1:11" x14ac:dyDescent="0.2">
      <c r="A64" s="24"/>
      <c r="J64" s="25"/>
      <c r="K64" s="25"/>
    </row>
    <row r="65" spans="1:11" x14ac:dyDescent="0.2">
      <c r="A65" s="24"/>
      <c r="J65" s="25"/>
      <c r="K65" s="25"/>
    </row>
    <row r="66" spans="1:11" x14ac:dyDescent="0.2">
      <c r="A66" s="24"/>
      <c r="J66" s="25"/>
      <c r="K66" s="25"/>
    </row>
    <row r="67" spans="1:11" x14ac:dyDescent="0.2">
      <c r="A67" s="24"/>
      <c r="J67" s="25"/>
      <c r="K67" s="25"/>
    </row>
    <row r="68" spans="1:11" x14ac:dyDescent="0.2">
      <c r="A68" s="24"/>
      <c r="J68" s="25"/>
      <c r="K68" s="25"/>
    </row>
    <row r="69" spans="1:11" x14ac:dyDescent="0.2">
      <c r="A69" s="24"/>
      <c r="J69" s="25"/>
      <c r="K69" s="25"/>
    </row>
    <row r="70" spans="1:11" x14ac:dyDescent="0.2">
      <c r="A70" s="24"/>
      <c r="J70" s="25"/>
      <c r="K70" s="25"/>
    </row>
    <row r="71" spans="1:11" x14ac:dyDescent="0.2">
      <c r="A71" s="24"/>
      <c r="J71" s="25"/>
      <c r="K71" s="25"/>
    </row>
    <row r="72" spans="1:11" x14ac:dyDescent="0.2">
      <c r="A72" s="24"/>
      <c r="J72" s="25"/>
      <c r="K72" s="25"/>
    </row>
    <row r="73" spans="1:11" x14ac:dyDescent="0.2">
      <c r="A73" s="24"/>
      <c r="J73" s="25"/>
      <c r="K73" s="25"/>
    </row>
    <row r="74" spans="1:11" x14ac:dyDescent="0.2">
      <c r="A74" s="24"/>
      <c r="J74" s="25"/>
      <c r="K74" s="25"/>
    </row>
    <row r="75" spans="1:11" x14ac:dyDescent="0.2">
      <c r="A75" s="24"/>
      <c r="J75" s="25"/>
      <c r="K75" s="25"/>
    </row>
    <row r="76" spans="1:11" x14ac:dyDescent="0.2">
      <c r="A76" s="24"/>
      <c r="J76" s="25"/>
      <c r="K76" s="25"/>
    </row>
    <row r="77" spans="1:11" x14ac:dyDescent="0.2">
      <c r="A77" s="24"/>
      <c r="J77" s="25"/>
      <c r="K77" s="25"/>
    </row>
    <row r="78" spans="1:11" x14ac:dyDescent="0.2">
      <c r="A78" s="24"/>
      <c r="J78" s="25"/>
      <c r="K78" s="25"/>
    </row>
    <row r="79" spans="1:11" x14ac:dyDescent="0.2">
      <c r="A79" s="24"/>
      <c r="J79" s="25"/>
      <c r="K79" s="25"/>
    </row>
    <row r="80" spans="1:11" x14ac:dyDescent="0.2">
      <c r="A80" s="24"/>
      <c r="J80" s="25"/>
      <c r="K80" s="25"/>
    </row>
    <row r="81" spans="1:11" x14ac:dyDescent="0.2">
      <c r="A81" s="24"/>
      <c r="J81" s="25"/>
      <c r="K81" s="25"/>
    </row>
    <row r="82" spans="1:11" x14ac:dyDescent="0.2">
      <c r="A82" s="24"/>
      <c r="J82" s="25"/>
      <c r="K82" s="25"/>
    </row>
    <row r="83" spans="1:11" x14ac:dyDescent="0.2">
      <c r="A83" s="24"/>
      <c r="J83" s="25"/>
      <c r="K83" s="25"/>
    </row>
    <row r="84" spans="1:11" x14ac:dyDescent="0.2">
      <c r="A84" s="24"/>
      <c r="J84" s="25"/>
      <c r="K84" s="25"/>
    </row>
    <row r="85" spans="1:11" x14ac:dyDescent="0.2">
      <c r="A85" s="24"/>
      <c r="J85" s="25"/>
      <c r="K85" s="25"/>
    </row>
    <row r="86" spans="1:11" x14ac:dyDescent="0.2">
      <c r="A86" s="24"/>
      <c r="J86" s="25"/>
      <c r="K86" s="25"/>
    </row>
    <row r="87" spans="1:11" x14ac:dyDescent="0.2">
      <c r="A87" s="24"/>
      <c r="J87" s="25"/>
      <c r="K87" s="25"/>
    </row>
    <row r="88" spans="1:11" x14ac:dyDescent="0.2">
      <c r="A88" s="24"/>
      <c r="J88" s="25"/>
      <c r="K88" s="25"/>
    </row>
    <row r="89" spans="1:11" x14ac:dyDescent="0.2">
      <c r="A89" s="24"/>
      <c r="J89" s="25"/>
      <c r="K89" s="25"/>
    </row>
    <row r="90" spans="1:11" x14ac:dyDescent="0.2">
      <c r="A90" s="24"/>
      <c r="J90" s="25"/>
      <c r="K90" s="25"/>
    </row>
    <row r="91" spans="1:11" x14ac:dyDescent="0.2">
      <c r="A91" s="24"/>
      <c r="J91" s="25"/>
      <c r="K91" s="25"/>
    </row>
    <row r="92" spans="1:11" x14ac:dyDescent="0.2">
      <c r="A92" s="24"/>
      <c r="J92" s="25"/>
      <c r="K92" s="25"/>
    </row>
    <row r="93" spans="1:11" x14ac:dyDescent="0.2">
      <c r="A93" s="24"/>
      <c r="J93" s="25"/>
      <c r="K93" s="25"/>
    </row>
    <row r="94" spans="1:11" x14ac:dyDescent="0.2">
      <c r="A94" s="24"/>
      <c r="J94" s="25"/>
      <c r="K94" s="25"/>
    </row>
    <row r="95" spans="1:11" x14ac:dyDescent="0.2">
      <c r="A95" s="24"/>
      <c r="J95" s="25"/>
      <c r="K95" s="25"/>
    </row>
    <row r="96" spans="1:11" x14ac:dyDescent="0.2">
      <c r="A96" s="24"/>
      <c r="J96" s="25"/>
      <c r="K96" s="25"/>
    </row>
    <row r="97" spans="1:11" x14ac:dyDescent="0.2">
      <c r="A97" s="24"/>
      <c r="J97" s="25"/>
      <c r="K97" s="25"/>
    </row>
    <row r="98" spans="1:11" x14ac:dyDescent="0.2">
      <c r="A98" s="24"/>
      <c r="J98" s="25"/>
      <c r="K98" s="25"/>
    </row>
    <row r="99" spans="1:11" x14ac:dyDescent="0.2">
      <c r="A99" s="24"/>
      <c r="J99" s="25"/>
      <c r="K99" s="25"/>
    </row>
    <row r="100" spans="1:11" x14ac:dyDescent="0.2">
      <c r="A100" s="24"/>
      <c r="J100" s="25"/>
      <c r="K100" s="25"/>
    </row>
    <row r="101" spans="1:11" x14ac:dyDescent="0.2">
      <c r="A101" s="24"/>
      <c r="J101" s="25"/>
      <c r="K101" s="25"/>
    </row>
    <row r="102" spans="1:11" x14ac:dyDescent="0.2">
      <c r="A102" s="24"/>
      <c r="J102" s="25"/>
      <c r="K102" s="25"/>
    </row>
    <row r="103" spans="1:11" x14ac:dyDescent="0.2">
      <c r="A103" s="24"/>
      <c r="J103" s="25"/>
      <c r="K103" s="25"/>
    </row>
    <row r="104" spans="1:11" x14ac:dyDescent="0.2">
      <c r="A104" s="24"/>
      <c r="J104" s="25"/>
      <c r="K104" s="25"/>
    </row>
    <row r="105" spans="1:11" x14ac:dyDescent="0.2">
      <c r="A105" s="24"/>
      <c r="J105" s="25"/>
      <c r="K105" s="25"/>
    </row>
    <row r="106" spans="1:11" x14ac:dyDescent="0.2">
      <c r="A106" s="24"/>
      <c r="J106" s="25"/>
      <c r="K106" s="25"/>
    </row>
    <row r="107" spans="1:11" x14ac:dyDescent="0.2">
      <c r="A107" s="24"/>
      <c r="J107" s="25"/>
      <c r="K107" s="25"/>
    </row>
    <row r="108" spans="1:11" x14ac:dyDescent="0.2">
      <c r="A108" s="24"/>
      <c r="J108" s="25"/>
      <c r="K108" s="25"/>
    </row>
    <row r="109" spans="1:11" x14ac:dyDescent="0.2">
      <c r="A109" s="24"/>
      <c r="J109" s="25"/>
      <c r="K109" s="25"/>
    </row>
    <row r="110" spans="1:11" x14ac:dyDescent="0.2">
      <c r="A110" s="24"/>
      <c r="J110" s="25"/>
      <c r="K110" s="25"/>
    </row>
    <row r="111" spans="1:11" x14ac:dyDescent="0.2">
      <c r="A111" s="24"/>
      <c r="J111" s="25"/>
      <c r="K111" s="25"/>
    </row>
    <row r="112" spans="1:11" x14ac:dyDescent="0.2">
      <c r="A112" s="24"/>
      <c r="J112" s="25"/>
      <c r="K112" s="25"/>
    </row>
    <row r="113" spans="1:11" x14ac:dyDescent="0.2">
      <c r="A113" s="24"/>
      <c r="J113" s="25"/>
      <c r="K113" s="25"/>
    </row>
    <row r="114" spans="1:11" x14ac:dyDescent="0.2">
      <c r="A114" s="24"/>
      <c r="J114" s="25"/>
      <c r="K114" s="25"/>
    </row>
    <row r="115" spans="1:11" x14ac:dyDescent="0.2">
      <c r="A115" s="24"/>
      <c r="J115" s="25"/>
      <c r="K115" s="25"/>
    </row>
    <row r="116" spans="1:11" x14ac:dyDescent="0.2">
      <c r="A116" s="24"/>
      <c r="J116" s="25"/>
      <c r="K116" s="25"/>
    </row>
    <row r="117" spans="1:11" x14ac:dyDescent="0.2">
      <c r="A117" s="24"/>
      <c r="J117" s="25"/>
      <c r="K117" s="25"/>
    </row>
    <row r="118" spans="1:11" x14ac:dyDescent="0.2">
      <c r="A118" s="24"/>
      <c r="J118" s="25"/>
      <c r="K118" s="25"/>
    </row>
    <row r="119" spans="1:11" x14ac:dyDescent="0.2">
      <c r="A119" s="24"/>
      <c r="J119" s="25"/>
      <c r="K119" s="25"/>
    </row>
    <row r="120" spans="1:11" x14ac:dyDescent="0.2">
      <c r="A120" s="24"/>
      <c r="J120" s="25"/>
      <c r="K120" s="25"/>
    </row>
    <row r="121" spans="1:11" x14ac:dyDescent="0.2">
      <c r="A121" s="24"/>
      <c r="J121" s="25"/>
      <c r="K121" s="25"/>
    </row>
    <row r="122" spans="1:11" x14ac:dyDescent="0.2">
      <c r="A122" s="24"/>
      <c r="J122" s="25"/>
      <c r="K122" s="25"/>
    </row>
    <row r="123" spans="1:11" x14ac:dyDescent="0.2">
      <c r="A123" s="24"/>
      <c r="J123" s="25"/>
      <c r="K123" s="25"/>
    </row>
    <row r="124" spans="1:11" x14ac:dyDescent="0.2">
      <c r="A124" s="24"/>
      <c r="J124" s="25"/>
      <c r="K124" s="25"/>
    </row>
    <row r="125" spans="1:11" x14ac:dyDescent="0.2">
      <c r="A125" s="24"/>
      <c r="J125" s="25"/>
      <c r="K125" s="25"/>
    </row>
    <row r="126" spans="1:11" x14ac:dyDescent="0.2">
      <c r="A126" s="24"/>
      <c r="J126" s="25"/>
      <c r="K126" s="25"/>
    </row>
    <row r="127" spans="1:11" x14ac:dyDescent="0.2">
      <c r="A127" s="24"/>
      <c r="J127" s="25"/>
      <c r="K127" s="25"/>
    </row>
    <row r="128" spans="1:11" x14ac:dyDescent="0.2">
      <c r="A128" s="24"/>
      <c r="J128" s="25"/>
      <c r="K128" s="25"/>
    </row>
    <row r="129" spans="1:11" x14ac:dyDescent="0.2">
      <c r="A129" s="24"/>
      <c r="J129" s="25"/>
      <c r="K129" s="25"/>
    </row>
    <row r="130" spans="1:11" x14ac:dyDescent="0.2">
      <c r="A130" s="24"/>
      <c r="J130" s="25"/>
      <c r="K130" s="25"/>
    </row>
    <row r="131" spans="1:11" x14ac:dyDescent="0.2">
      <c r="A131" s="24"/>
      <c r="J131" s="25"/>
      <c r="K131" s="25"/>
    </row>
    <row r="132" spans="1:11" x14ac:dyDescent="0.2">
      <c r="A132" s="24"/>
      <c r="J132" s="25"/>
      <c r="K132" s="25"/>
    </row>
    <row r="133" spans="1:11" x14ac:dyDescent="0.2">
      <c r="A133" s="24"/>
      <c r="J133" s="25"/>
      <c r="K133" s="25"/>
    </row>
    <row r="134" spans="1:11" x14ac:dyDescent="0.2">
      <c r="A134" s="24"/>
      <c r="J134" s="25"/>
      <c r="K134" s="25"/>
    </row>
    <row r="135" spans="1:11" x14ac:dyDescent="0.2">
      <c r="A135" s="24"/>
      <c r="J135" s="25"/>
      <c r="K135" s="25"/>
    </row>
    <row r="136" spans="1:11" x14ac:dyDescent="0.2">
      <c r="A136" s="24"/>
      <c r="J136" s="25"/>
      <c r="K136" s="25"/>
    </row>
    <row r="137" spans="1:11" x14ac:dyDescent="0.2">
      <c r="A137" s="24"/>
      <c r="J137" s="25"/>
      <c r="K137" s="25"/>
    </row>
    <row r="138" spans="1:11" x14ac:dyDescent="0.2">
      <c r="A138" s="24"/>
      <c r="J138" s="25"/>
      <c r="K138" s="25"/>
    </row>
    <row r="139" spans="1:11" x14ac:dyDescent="0.2">
      <c r="A139" s="24"/>
      <c r="J139" s="25"/>
      <c r="K139" s="25"/>
    </row>
    <row r="140" spans="1:11" x14ac:dyDescent="0.2">
      <c r="A140" s="24"/>
      <c r="J140" s="25"/>
      <c r="K140" s="25"/>
    </row>
    <row r="141" spans="1:11" x14ac:dyDescent="0.2">
      <c r="A141" s="24"/>
      <c r="J141" s="25"/>
      <c r="K141" s="25"/>
    </row>
    <row r="142" spans="1:11" x14ac:dyDescent="0.2">
      <c r="A142" s="24"/>
      <c r="J142" s="25"/>
      <c r="K142" s="25"/>
    </row>
    <row r="143" spans="1:11" x14ac:dyDescent="0.2">
      <c r="A143" s="24"/>
      <c r="J143" s="25"/>
      <c r="K143" s="25"/>
    </row>
    <row r="144" spans="1:11" x14ac:dyDescent="0.2">
      <c r="A144" s="24"/>
      <c r="J144" s="25"/>
      <c r="K144" s="25"/>
    </row>
    <row r="145" spans="1:11" x14ac:dyDescent="0.2">
      <c r="A145" s="24"/>
      <c r="J145" s="25"/>
      <c r="K145" s="25"/>
    </row>
    <row r="146" spans="1:11" x14ac:dyDescent="0.2">
      <c r="A146" s="24"/>
      <c r="J146" s="25"/>
      <c r="K146" s="25"/>
    </row>
    <row r="147" spans="1:11" x14ac:dyDescent="0.2">
      <c r="A147" s="24"/>
      <c r="J147" s="25"/>
      <c r="K147" s="25"/>
    </row>
    <row r="148" spans="1:11" x14ac:dyDescent="0.2">
      <c r="A148" s="24"/>
      <c r="J148" s="25"/>
      <c r="K148" s="25"/>
    </row>
    <row r="149" spans="1:11" x14ac:dyDescent="0.2">
      <c r="A149" s="24"/>
      <c r="J149" s="25"/>
      <c r="K149" s="25"/>
    </row>
    <row r="150" spans="1:11" x14ac:dyDescent="0.2">
      <c r="A150" s="24"/>
      <c r="J150" s="25"/>
      <c r="K150" s="25"/>
    </row>
    <row r="151" spans="1:11" x14ac:dyDescent="0.2">
      <c r="A151" s="24"/>
      <c r="J151" s="25"/>
      <c r="K151" s="25"/>
    </row>
    <row r="152" spans="1:11" x14ac:dyDescent="0.2">
      <c r="A152" s="24"/>
      <c r="J152" s="25"/>
      <c r="K152" s="25"/>
    </row>
    <row r="153" spans="1:11" x14ac:dyDescent="0.2">
      <c r="A153" s="24"/>
      <c r="J153" s="25"/>
      <c r="K153" s="25"/>
    </row>
    <row r="154" spans="1:11" x14ac:dyDescent="0.2">
      <c r="A154" s="24"/>
      <c r="J154" s="25"/>
      <c r="K154" s="25"/>
    </row>
    <row r="155" spans="1:11" x14ac:dyDescent="0.2">
      <c r="A155" s="24"/>
      <c r="J155" s="25"/>
      <c r="K155" s="25"/>
    </row>
    <row r="156" spans="1:11" x14ac:dyDescent="0.2">
      <c r="A156" s="24"/>
      <c r="J156" s="25"/>
      <c r="K156" s="25"/>
    </row>
    <row r="157" spans="1:11" x14ac:dyDescent="0.2">
      <c r="A157" s="24"/>
      <c r="J157" s="25"/>
      <c r="K157" s="25"/>
    </row>
    <row r="158" spans="1:11" x14ac:dyDescent="0.2">
      <c r="A158" s="24"/>
      <c r="J158" s="25"/>
      <c r="K158" s="25"/>
    </row>
    <row r="159" spans="1:11" x14ac:dyDescent="0.2">
      <c r="A159" s="24"/>
      <c r="J159" s="25"/>
      <c r="K159" s="25"/>
    </row>
    <row r="160" spans="1:11" x14ac:dyDescent="0.2">
      <c r="A160" s="24"/>
      <c r="J160" s="25"/>
      <c r="K160" s="25"/>
    </row>
    <row r="161" spans="1:11" x14ac:dyDescent="0.2">
      <c r="A161" s="24"/>
      <c r="J161" s="25"/>
      <c r="K161" s="25"/>
    </row>
    <row r="162" spans="1:11" x14ac:dyDescent="0.2">
      <c r="A162" s="24"/>
      <c r="J162" s="25"/>
      <c r="K162" s="25"/>
    </row>
    <row r="163" spans="1:11" x14ac:dyDescent="0.2">
      <c r="A163" s="24"/>
      <c r="J163" s="25"/>
      <c r="K163" s="25"/>
    </row>
    <row r="164" spans="1:11" x14ac:dyDescent="0.2">
      <c r="A164" s="24"/>
      <c r="J164" s="25"/>
      <c r="K164" s="25"/>
    </row>
    <row r="165" spans="1:11" x14ac:dyDescent="0.2">
      <c r="A165" s="24"/>
      <c r="J165" s="25"/>
      <c r="K165" s="25"/>
    </row>
    <row r="166" spans="1:11" x14ac:dyDescent="0.2">
      <c r="A166" s="24"/>
      <c r="J166" s="25"/>
      <c r="K166" s="25"/>
    </row>
    <row r="167" spans="1:11" x14ac:dyDescent="0.2">
      <c r="A167" s="24"/>
      <c r="J167" s="25"/>
      <c r="K167" s="25"/>
    </row>
    <row r="168" spans="1:11" x14ac:dyDescent="0.2">
      <c r="A168" s="24"/>
      <c r="J168" s="25"/>
      <c r="K168" s="25"/>
    </row>
    <row r="169" spans="1:11" x14ac:dyDescent="0.2">
      <c r="A169" s="24"/>
      <c r="J169" s="25"/>
      <c r="K169" s="25"/>
    </row>
    <row r="170" spans="1:11" x14ac:dyDescent="0.2">
      <c r="A170" s="24"/>
      <c r="J170" s="25"/>
      <c r="K170" s="25"/>
    </row>
    <row r="171" spans="1:11" x14ac:dyDescent="0.2">
      <c r="A171" s="24"/>
      <c r="J171" s="25"/>
      <c r="K171" s="25"/>
    </row>
    <row r="172" spans="1:11" x14ac:dyDescent="0.2">
      <c r="A172" s="24"/>
      <c r="J172" s="25"/>
      <c r="K172" s="25"/>
    </row>
    <row r="173" spans="1:11" x14ac:dyDescent="0.2">
      <c r="A173" s="24"/>
      <c r="J173" s="25"/>
      <c r="K173" s="25"/>
    </row>
    <row r="174" spans="1:11" x14ac:dyDescent="0.2">
      <c r="A174" s="24"/>
      <c r="J174" s="25"/>
      <c r="K174" s="25"/>
    </row>
    <row r="175" spans="1:11" x14ac:dyDescent="0.2">
      <c r="A175" s="24"/>
      <c r="J175" s="25"/>
      <c r="K175" s="25"/>
    </row>
    <row r="176" spans="1:11" x14ac:dyDescent="0.2">
      <c r="A176" s="24"/>
      <c r="J176" s="25"/>
      <c r="K176" s="25"/>
    </row>
    <row r="177" spans="1:11" x14ac:dyDescent="0.2">
      <c r="A177" s="24"/>
      <c r="J177" s="25"/>
      <c r="K177" s="25"/>
    </row>
    <row r="178" spans="1:11" x14ac:dyDescent="0.2">
      <c r="A178" s="24"/>
      <c r="J178" s="25"/>
      <c r="K178" s="25"/>
    </row>
    <row r="179" spans="1:11" x14ac:dyDescent="0.2">
      <c r="A179" s="24"/>
      <c r="J179" s="25"/>
      <c r="K179" s="25"/>
    </row>
    <row r="180" spans="1:11" x14ac:dyDescent="0.2">
      <c r="A180" s="24"/>
      <c r="J180" s="25"/>
      <c r="K180" s="25"/>
    </row>
    <row r="181" spans="1:11" x14ac:dyDescent="0.2">
      <c r="A181" s="24"/>
      <c r="J181" s="25"/>
      <c r="K181" s="25"/>
    </row>
    <row r="182" spans="1:11" x14ac:dyDescent="0.2">
      <c r="A182" s="24"/>
      <c r="J182" s="25"/>
      <c r="K182" s="25"/>
    </row>
    <row r="183" spans="1:11" x14ac:dyDescent="0.2">
      <c r="A183" s="24"/>
      <c r="J183" s="25"/>
      <c r="K183" s="25"/>
    </row>
    <row r="184" spans="1:11" x14ac:dyDescent="0.2">
      <c r="A184" s="24"/>
      <c r="J184" s="25"/>
      <c r="K184" s="25"/>
    </row>
    <row r="185" spans="1:11" x14ac:dyDescent="0.2">
      <c r="A185" s="24"/>
      <c r="J185" s="25"/>
      <c r="K185" s="25"/>
    </row>
    <row r="186" spans="1:11" x14ac:dyDescent="0.2">
      <c r="A186" s="24"/>
      <c r="J186" s="25"/>
      <c r="K186" s="25"/>
    </row>
    <row r="187" spans="1:11" x14ac:dyDescent="0.2">
      <c r="A187" s="24"/>
      <c r="J187" s="25"/>
      <c r="K187" s="25"/>
    </row>
    <row r="188" spans="1:11" x14ac:dyDescent="0.2">
      <c r="A188" s="24"/>
      <c r="J188" s="25"/>
      <c r="K188" s="25"/>
    </row>
    <row r="189" spans="1:11" x14ac:dyDescent="0.2">
      <c r="A189" s="24"/>
      <c r="J189" s="25"/>
      <c r="K189" s="25"/>
    </row>
    <row r="190" spans="1:11" x14ac:dyDescent="0.2">
      <c r="A190" s="24"/>
    </row>
    <row r="191" spans="1:11" x14ac:dyDescent="0.2">
      <c r="A191" s="24"/>
    </row>
    <row r="192" spans="1:11" x14ac:dyDescent="0.2">
      <c r="A192" s="24"/>
    </row>
    <row r="193" spans="1:1" x14ac:dyDescent="0.2">
      <c r="A193" s="24"/>
    </row>
    <row r="194" spans="1:1" x14ac:dyDescent="0.2">
      <c r="A194" s="24"/>
    </row>
    <row r="195" spans="1:1" x14ac:dyDescent="0.2">
      <c r="A195" s="24"/>
    </row>
    <row r="196" spans="1:1" x14ac:dyDescent="0.2">
      <c r="A196" s="24"/>
    </row>
    <row r="197" spans="1:1" x14ac:dyDescent="0.2">
      <c r="A197" s="24"/>
    </row>
    <row r="198" spans="1:1" x14ac:dyDescent="0.2">
      <c r="A198" s="24"/>
    </row>
    <row r="199" spans="1:1" x14ac:dyDescent="0.2">
      <c r="A199" s="24"/>
    </row>
  </sheetData>
  <mergeCells count="2">
    <mergeCell ref="J10:Q10"/>
    <mergeCell ref="J11:Q11"/>
  </mergeCells>
  <phoneticPr fontId="7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使用说明</vt:lpstr>
      <vt:lpstr>样本池</vt:lpstr>
      <vt:lpstr>跨市场_指标表</vt:lpstr>
      <vt:lpstr>A股_资产负债表</vt:lpstr>
      <vt:lpstr>A股_利润表</vt:lpstr>
      <vt:lpstr>A股_现金流量表</vt:lpstr>
      <vt:lpstr>A股_指标表</vt:lpstr>
      <vt:lpstr>美股_资产负债表</vt:lpstr>
      <vt:lpstr>美股_利润表</vt:lpstr>
      <vt:lpstr>美股_现金流量表</vt:lpstr>
      <vt:lpstr>美股_指标表</vt:lpstr>
      <vt:lpstr>美股_抓取诊断</vt:lpstr>
      <vt:lpstr>港股_资产负债表</vt:lpstr>
      <vt:lpstr>港股_利润表</vt:lpstr>
      <vt:lpstr>港股_现金流量表</vt:lpstr>
      <vt:lpstr>港股_指标表</vt:lpstr>
      <vt:lpstr>港股_抓取诊断</vt:lpstr>
      <vt:lpstr>韩股_资产负债表</vt:lpstr>
      <vt:lpstr>韩股_利润表</vt:lpstr>
      <vt:lpstr>韩股_现金流量表</vt:lpstr>
      <vt:lpstr>韩股_指标表</vt:lpstr>
      <vt:lpstr>韩股_抓取诊断</vt:lpstr>
      <vt:lpstr>汇率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Eric Zhang</cp:lastModifiedBy>
  <dcterms:created xsi:type="dcterms:W3CDTF">2026-05-03T15:12:59Z</dcterms:created>
  <dcterms:modified xsi:type="dcterms:W3CDTF">2026-05-05T08:42:13Z</dcterms:modified>
</cp:coreProperties>
</file>